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 defaultThemeVersion="124226"/>
  <bookViews>
    <workbookView xWindow="240" yWindow="105" windowWidth="14805" windowHeight="8010"/>
  </bookViews>
  <sheets>
    <sheet name="Gantt" sheetId="1" r:id="rId1"/>
    <sheet name="Settings" sheetId="4" r:id="rId2"/>
  </sheets>
  <definedNames>
    <definedName name="_xlnm._FilterDatabase" localSheetId="0" hidden="1">Gantt!$A$5:$A$49</definedName>
    <definedName name="DateOffset">Settings!$B$2</definedName>
    <definedName name="GanttNoOfYears">Settings!$B$4</definedName>
    <definedName name="Manager">Gantt!$B$2</definedName>
    <definedName name="_xlnm.Print_Area" localSheetId="0">Gantt!$A$1:$NI$50</definedName>
    <definedName name="ShowFY">Settings!$B$5</definedName>
    <definedName name="Start">Gantt!$B$3</definedName>
    <definedName name="Today">Gantt!$B$4</definedName>
    <definedName name="VERSION">Gantt!$I$1</definedName>
    <definedName name="WeekStartType">Settings!$B$3</definedName>
  </definedNames>
  <calcPr calcId="125725"/>
</workbook>
</file>

<file path=xl/calcChain.xml><?xml version="1.0" encoding="utf-8"?>
<calcChain xmlns="http://schemas.openxmlformats.org/spreadsheetml/2006/main">
  <c r="D28" i="1"/>
  <c r="D25"/>
  <c r="D21"/>
  <c r="D18"/>
  <c r="D13"/>
  <c r="D6"/>
  <c r="B4"/>
  <c r="H42" l="1"/>
  <c r="I49"/>
  <c r="I4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H49"/>
  <c r="H48"/>
  <c r="H47"/>
  <c r="H46"/>
  <c r="H45"/>
  <c r="H44"/>
  <c r="H38"/>
  <c r="H37"/>
  <c r="H36"/>
  <c r="H35"/>
  <c r="H34"/>
  <c r="H33"/>
  <c r="H27"/>
  <c r="H26"/>
  <c r="H25"/>
  <c r="H24"/>
  <c r="H23"/>
  <c r="H16"/>
  <c r="H15"/>
  <c r="H14"/>
  <c r="H13"/>
  <c r="G49"/>
  <c r="F49"/>
  <c r="G48"/>
  <c r="F48"/>
  <c r="G47"/>
  <c r="F47"/>
  <c r="G46"/>
  <c r="F46"/>
  <c r="G45"/>
  <c r="F45"/>
  <c r="G44"/>
  <c r="F44"/>
  <c r="F43"/>
  <c r="F42"/>
  <c r="F41"/>
  <c r="F40"/>
  <c r="F39"/>
  <c r="G38"/>
  <c r="F38"/>
  <c r="G37"/>
  <c r="F37"/>
  <c r="G36"/>
  <c r="F36"/>
  <c r="G35"/>
  <c r="F35"/>
  <c r="G34"/>
  <c r="F34"/>
  <c r="G33"/>
  <c r="F33"/>
  <c r="F32"/>
  <c r="F31"/>
  <c r="F30"/>
  <c r="F29"/>
  <c r="F28"/>
  <c r="G27"/>
  <c r="F27"/>
  <c r="G26"/>
  <c r="F26"/>
  <c r="G25"/>
  <c r="F25"/>
  <c r="G24"/>
  <c r="F24"/>
  <c r="G23"/>
  <c r="F23"/>
  <c r="F22"/>
  <c r="F21"/>
  <c r="F20"/>
  <c r="F19"/>
  <c r="F18"/>
  <c r="F17"/>
  <c r="G16"/>
  <c r="F16"/>
  <c r="G15"/>
  <c r="F15"/>
  <c r="G14"/>
  <c r="F14"/>
  <c r="G13"/>
  <c r="F13"/>
  <c r="F12"/>
  <c r="F11"/>
  <c r="F10"/>
  <c r="F9"/>
  <c r="F8"/>
  <c r="F7"/>
  <c r="J1"/>
  <c r="J2" s="1"/>
  <c r="H7" l="1"/>
  <c r="H9"/>
  <c r="H11"/>
  <c r="H17"/>
  <c r="H19"/>
  <c r="H21"/>
  <c r="H29"/>
  <c r="H31"/>
  <c r="H39"/>
  <c r="H41"/>
  <c r="H43"/>
  <c r="H8"/>
  <c r="H10"/>
  <c r="H12"/>
  <c r="H18"/>
  <c r="H20"/>
  <c r="H22"/>
  <c r="H28"/>
  <c r="H30"/>
  <c r="H32"/>
  <c r="H40"/>
  <c r="H6"/>
  <c r="G7"/>
  <c r="G8"/>
  <c r="G9"/>
  <c r="G10"/>
  <c r="G11"/>
  <c r="G12"/>
  <c r="G17"/>
  <c r="G18"/>
  <c r="G19"/>
  <c r="G20"/>
  <c r="G21"/>
  <c r="G22"/>
  <c r="G28"/>
  <c r="G29"/>
  <c r="G30"/>
  <c r="G31"/>
  <c r="G32"/>
  <c r="G39"/>
  <c r="G40"/>
  <c r="G41"/>
  <c r="G42"/>
  <c r="G43"/>
  <c r="J5"/>
  <c r="G6"/>
  <c r="F6"/>
  <c r="K1"/>
  <c r="L1" s="1"/>
  <c r="M1" s="1"/>
  <c r="N1" s="1"/>
  <c r="O1" s="1"/>
  <c r="P1" s="1"/>
  <c r="Q1" s="1"/>
  <c r="Q2" l="1"/>
  <c r="Q5"/>
  <c r="R1"/>
  <c r="S1" s="1"/>
  <c r="T1" s="1"/>
  <c r="U1" s="1"/>
  <c r="V1" s="1"/>
  <c r="W1" s="1"/>
  <c r="X1" s="1"/>
  <c r="X2" l="1"/>
  <c r="X5"/>
  <c r="Y1"/>
  <c r="Z1" s="1"/>
  <c r="AA1" s="1"/>
  <c r="AB1" s="1"/>
  <c r="AC1" s="1"/>
  <c r="AD1" s="1"/>
  <c r="AE1" s="1"/>
  <c r="AE2" l="1"/>
  <c r="AE5"/>
  <c r="AF1"/>
  <c r="AG1" s="1"/>
  <c r="AH1" s="1"/>
  <c r="AI1" s="1"/>
  <c r="AJ1" s="1"/>
  <c r="AK1" s="1"/>
  <c r="AL1" s="1"/>
  <c r="AL2" l="1"/>
  <c r="AL5"/>
  <c r="AM1"/>
  <c r="AN1" s="1"/>
  <c r="AO1" s="1"/>
  <c r="AP1" s="1"/>
  <c r="AQ1" s="1"/>
  <c r="AR1" s="1"/>
  <c r="AS1" s="1"/>
  <c r="AS2" l="1"/>
  <c r="AS5"/>
  <c r="AT1"/>
  <c r="AU1" s="1"/>
  <c r="AV1" s="1"/>
  <c r="AW1" s="1"/>
  <c r="AX1" s="1"/>
  <c r="AY1" s="1"/>
  <c r="AZ1" s="1"/>
  <c r="AZ2" l="1"/>
  <c r="AZ5"/>
  <c r="BA1"/>
  <c r="BB1" s="1"/>
  <c r="BC1" s="1"/>
  <c r="BD1" s="1"/>
  <c r="BE1" s="1"/>
  <c r="BF1" s="1"/>
  <c r="BG1" s="1"/>
  <c r="BG2" l="1"/>
  <c r="BG5"/>
  <c r="BH1"/>
  <c r="BI1" s="1"/>
  <c r="BJ1" s="1"/>
  <c r="BK1" s="1"/>
  <c r="BL1" s="1"/>
  <c r="BM1" s="1"/>
  <c r="BN1" s="1"/>
  <c r="BN2" l="1"/>
  <c r="BN5"/>
  <c r="BO1"/>
  <c r="BP1" s="1"/>
  <c r="BQ1" s="1"/>
  <c r="BR1" s="1"/>
  <c r="BS1" s="1"/>
  <c r="BT1" s="1"/>
  <c r="BU1" s="1"/>
  <c r="BU2" l="1"/>
  <c r="BU5"/>
  <c r="BV1"/>
  <c r="BW1" s="1"/>
  <c r="BX1" s="1"/>
  <c r="BY1" s="1"/>
  <c r="BZ1" s="1"/>
  <c r="CA1" s="1"/>
  <c r="CB1" s="1"/>
  <c r="CB2" l="1"/>
  <c r="CB5"/>
  <c r="CC1"/>
  <c r="CD1" s="1"/>
  <c r="CE1" s="1"/>
  <c r="CF1" s="1"/>
  <c r="CG1" s="1"/>
  <c r="CH1" s="1"/>
  <c r="CI1" s="1"/>
  <c r="CI2" l="1"/>
  <c r="CI5"/>
  <c r="CJ1"/>
  <c r="CK1" s="1"/>
  <c r="CL1" s="1"/>
  <c r="CM1" s="1"/>
  <c r="CN1" s="1"/>
  <c r="CO1" s="1"/>
  <c r="CP1" s="1"/>
  <c r="CP2" l="1"/>
  <c r="CP5"/>
  <c r="CQ1"/>
  <c r="CR1" s="1"/>
  <c r="CS1" s="1"/>
  <c r="CT1" s="1"/>
  <c r="CU1" s="1"/>
  <c r="CV1" s="1"/>
  <c r="CW1" s="1"/>
  <c r="CW2" l="1"/>
  <c r="CW5"/>
  <c r="CX1"/>
  <c r="CY1" s="1"/>
  <c r="CZ1" l="1"/>
  <c r="DA1" s="1"/>
  <c r="DB1" s="1"/>
  <c r="DC1" s="1"/>
  <c r="DD1" s="1"/>
  <c r="DD2" l="1"/>
  <c r="DD5"/>
  <c r="DE1"/>
  <c r="DF1" s="1"/>
  <c r="DG1" s="1"/>
  <c r="DH1" s="1"/>
  <c r="DI1" s="1"/>
  <c r="DJ1" s="1"/>
  <c r="DK1" s="1"/>
  <c r="DK5" s="1"/>
  <c r="DK2" l="1"/>
  <c r="DL1"/>
  <c r="DM1" s="1"/>
  <c r="DN1" s="1"/>
  <c r="DO1" s="1"/>
  <c r="DP1" s="1"/>
  <c r="DQ1" s="1"/>
  <c r="DR1" s="1"/>
  <c r="DR2" l="1"/>
  <c r="DR5"/>
  <c r="DS1"/>
  <c r="DT1" s="1"/>
  <c r="DU1" s="1"/>
  <c r="DV1" s="1"/>
  <c r="DW1" s="1"/>
  <c r="DX1" s="1"/>
  <c r="DY1" s="1"/>
  <c r="DY2" l="1"/>
  <c r="DY5"/>
  <c r="DZ1"/>
  <c r="EA1" s="1"/>
  <c r="EB1" s="1"/>
  <c r="EC1" s="1"/>
  <c r="ED1" s="1"/>
  <c r="EE1" s="1"/>
  <c r="EF1" s="1"/>
  <c r="EF2" l="1"/>
  <c r="EF5"/>
  <c r="EG1"/>
  <c r="EH1" s="1"/>
  <c r="EI1" s="1"/>
  <c r="EJ1" s="1"/>
  <c r="EK1" s="1"/>
  <c r="EL1" s="1"/>
  <c r="EM1" s="1"/>
  <c r="EM2" l="1"/>
  <c r="EM5"/>
  <c r="EN1"/>
  <c r="EO1" s="1"/>
  <c r="EP1" s="1"/>
  <c r="EQ1" s="1"/>
  <c r="ER1" s="1"/>
  <c r="ES1" s="1"/>
  <c r="ET1" s="1"/>
  <c r="ET2" l="1"/>
  <c r="ET5"/>
  <c r="EU1"/>
  <c r="EV1" s="1"/>
  <c r="EW1" s="1"/>
  <c r="EX1" s="1"/>
  <c r="EY1" s="1"/>
  <c r="EZ1" s="1"/>
  <c r="FA1" s="1"/>
  <c r="FA2" l="1"/>
  <c r="FA5"/>
  <c r="FB1"/>
  <c r="FC1" s="1"/>
  <c r="FD1" s="1"/>
  <c r="FE1" s="1"/>
  <c r="FF1" s="1"/>
  <c r="FG1" s="1"/>
  <c r="FH1" s="1"/>
  <c r="FH2" l="1"/>
  <c r="FH5"/>
  <c r="FI1"/>
  <c r="FJ1" s="1"/>
  <c r="FK1" s="1"/>
  <c r="FL1" s="1"/>
  <c r="FM1" s="1"/>
  <c r="FN1" s="1"/>
  <c r="FO1" s="1"/>
  <c r="FO2" l="1"/>
  <c r="FO5"/>
  <c r="FP1"/>
  <c r="FQ1" s="1"/>
  <c r="FR1" s="1"/>
  <c r="FS1" s="1"/>
  <c r="FT1" s="1"/>
  <c r="FU1" s="1"/>
  <c r="FV1" s="1"/>
  <c r="FV2" l="1"/>
  <c r="FV5"/>
  <c r="FW1"/>
  <c r="FX1" s="1"/>
  <c r="FY1" s="1"/>
  <c r="FZ1" s="1"/>
  <c r="GA1" s="1"/>
  <c r="GB1" s="1"/>
  <c r="GC1" s="1"/>
  <c r="GC2" l="1"/>
  <c r="GC5"/>
  <c r="GD1"/>
  <c r="GE1" s="1"/>
  <c r="GF1" s="1"/>
  <c r="GG1" s="1"/>
  <c r="GH1" s="1"/>
  <c r="GI1" s="1"/>
  <c r="GJ1" s="1"/>
  <c r="GJ2" l="1"/>
  <c r="GJ5"/>
  <c r="GK1"/>
  <c r="GL1" s="1"/>
  <c r="GM1" s="1"/>
  <c r="GN1" s="1"/>
  <c r="GO1" s="1"/>
  <c r="GP1" s="1"/>
  <c r="GQ1" s="1"/>
  <c r="GQ2" l="1"/>
  <c r="GQ5"/>
  <c r="GR1"/>
  <c r="GS1" s="1"/>
  <c r="GT1" s="1"/>
  <c r="GU1" s="1"/>
  <c r="GV1" s="1"/>
  <c r="GW1" s="1"/>
  <c r="GX1" s="1"/>
  <c r="GX2" l="1"/>
  <c r="GX5"/>
  <c r="GY1"/>
  <c r="GZ1" s="1"/>
  <c r="HA1" s="1"/>
  <c r="HB1" s="1"/>
  <c r="HC1" s="1"/>
  <c r="HD1" s="1"/>
  <c r="HE1" s="1"/>
  <c r="HE2" l="1"/>
  <c r="HE5"/>
  <c r="HF1"/>
  <c r="HG1" s="1"/>
  <c r="HH1" s="1"/>
  <c r="HI1" s="1"/>
  <c r="HJ1" s="1"/>
  <c r="HK1" s="1"/>
  <c r="HL1" s="1"/>
  <c r="HL2" l="1"/>
  <c r="HL5"/>
  <c r="HM1"/>
  <c r="HN1" s="1"/>
  <c r="HO1" s="1"/>
  <c r="HP1" s="1"/>
  <c r="HQ1" s="1"/>
  <c r="HR1" s="1"/>
  <c r="HS1" s="1"/>
  <c r="HS2" l="1"/>
  <c r="HS5"/>
  <c r="HT1"/>
  <c r="HU1" s="1"/>
  <c r="HV1" s="1"/>
  <c r="HW1" s="1"/>
  <c r="HX1" s="1"/>
  <c r="HY1" s="1"/>
  <c r="HZ1" s="1"/>
  <c r="HZ2" l="1"/>
  <c r="HZ5"/>
  <c r="IA1"/>
  <c r="IB1" s="1"/>
  <c r="IC1" s="1"/>
  <c r="ID1" s="1"/>
  <c r="IE1" s="1"/>
  <c r="IF1" s="1"/>
  <c r="IG1" s="1"/>
  <c r="IG2" l="1"/>
  <c r="IG5"/>
  <c r="IH1"/>
  <c r="II1" s="1"/>
  <c r="IJ1" s="1"/>
  <c r="IK1" s="1"/>
  <c r="IL1" s="1"/>
  <c r="IM1" s="1"/>
  <c r="IN1" s="1"/>
  <c r="IN2" l="1"/>
  <c r="IN5"/>
  <c r="IO1"/>
  <c r="IP1" s="1"/>
  <c r="IQ1" s="1"/>
  <c r="IR1" s="1"/>
  <c r="IS1" s="1"/>
  <c r="IT1" s="1"/>
  <c r="IU1" s="1"/>
  <c r="IU2" l="1"/>
  <c r="IU5"/>
  <c r="IV1"/>
  <c r="IW1" s="1"/>
  <c r="IX1" s="1"/>
  <c r="IY1" s="1"/>
  <c r="IZ1" s="1"/>
  <c r="JA1" s="1"/>
  <c r="JB1" s="1"/>
  <c r="JB2" l="1"/>
  <c r="JB5"/>
  <c r="JC1"/>
  <c r="JD1" s="1"/>
  <c r="JE1" s="1"/>
  <c r="JF1" s="1"/>
  <c r="JG1" s="1"/>
  <c r="JH1" s="1"/>
  <c r="JI1" s="1"/>
  <c r="JI2" l="1"/>
  <c r="JI5"/>
  <c r="JJ1"/>
  <c r="JK1" s="1"/>
  <c r="JL1" s="1"/>
  <c r="JM1" s="1"/>
  <c r="JN1" s="1"/>
  <c r="JO1" s="1"/>
  <c r="JP1" s="1"/>
  <c r="JP2" l="1"/>
  <c r="JP5"/>
  <c r="JQ1"/>
  <c r="JR1" s="1"/>
  <c r="JS1" s="1"/>
  <c r="JT1" s="1"/>
  <c r="JU1" s="1"/>
  <c r="JV1" s="1"/>
  <c r="JW1" s="1"/>
  <c r="JW2" l="1"/>
  <c r="JW5"/>
  <c r="JX1"/>
  <c r="JY1" s="1"/>
  <c r="JZ1" s="1"/>
  <c r="KA1" s="1"/>
  <c r="KB1" s="1"/>
  <c r="KC1" s="1"/>
  <c r="KD1" s="1"/>
  <c r="KD2" l="1"/>
  <c r="KD5"/>
  <c r="KE1"/>
  <c r="KF1" s="1"/>
  <c r="KG1" s="1"/>
  <c r="KH1" s="1"/>
  <c r="KI1" s="1"/>
  <c r="KJ1" s="1"/>
  <c r="KK1" s="1"/>
  <c r="KK2" l="1"/>
  <c r="KK5"/>
  <c r="KL1"/>
  <c r="KM1" s="1"/>
  <c r="KN1" s="1"/>
  <c r="KO1" s="1"/>
  <c r="KP1" s="1"/>
  <c r="KQ1" s="1"/>
  <c r="KR1" s="1"/>
  <c r="KR2" l="1"/>
  <c r="KR5"/>
  <c r="KS1"/>
  <c r="KT1" s="1"/>
  <c r="KU1" s="1"/>
  <c r="KV1" s="1"/>
  <c r="KW1" s="1"/>
  <c r="KX1" s="1"/>
  <c r="KY1" s="1"/>
  <c r="KY2" l="1"/>
  <c r="KY5"/>
  <c r="KZ1"/>
  <c r="LA1" s="1"/>
  <c r="LB1" s="1"/>
  <c r="LC1" s="1"/>
  <c r="LD1" s="1"/>
  <c r="LE1" s="1"/>
  <c r="LF1" s="1"/>
  <c r="LF2" l="1"/>
  <c r="LF5"/>
  <c r="LG1"/>
  <c r="LH1" s="1"/>
  <c r="LI1" s="1"/>
  <c r="LJ1" s="1"/>
  <c r="LK1" s="1"/>
  <c r="LL1" s="1"/>
  <c r="LM1" s="1"/>
  <c r="LM2" l="1"/>
  <c r="LM5"/>
  <c r="LN1"/>
  <c r="LO1" s="1"/>
  <c r="LP1" s="1"/>
  <c r="LQ1" s="1"/>
  <c r="LR1" s="1"/>
  <c r="LS1" s="1"/>
  <c r="LT1" s="1"/>
  <c r="LT2" l="1"/>
  <c r="LT5"/>
  <c r="LU1"/>
  <c r="LV1" s="1"/>
  <c r="LW1" s="1"/>
  <c r="LX1" s="1"/>
  <c r="LY1" s="1"/>
  <c r="LZ1" s="1"/>
  <c r="MA1" s="1"/>
  <c r="MA2" l="1"/>
  <c r="MA5"/>
  <c r="MB1"/>
  <c r="MC1" s="1"/>
  <c r="MD1" s="1"/>
  <c r="ME1" s="1"/>
  <c r="MF1" s="1"/>
  <c r="MG1" s="1"/>
  <c r="MH1" s="1"/>
  <c r="MH2" l="1"/>
  <c r="MH5"/>
  <c r="MI1"/>
  <c r="MJ1" s="1"/>
  <c r="MK1" s="1"/>
  <c r="ML1" s="1"/>
  <c r="MM1" s="1"/>
  <c r="MN1" s="1"/>
  <c r="MO1" s="1"/>
  <c r="MO2" l="1"/>
  <c r="MO5"/>
  <c r="MP1"/>
  <c r="MQ1" s="1"/>
  <c r="MR1" s="1"/>
  <c r="MS1" s="1"/>
  <c r="MT1" s="1"/>
  <c r="MU1" s="1"/>
  <c r="MV1" s="1"/>
  <c r="MV2" l="1"/>
  <c r="MV5"/>
  <c r="MW1"/>
  <c r="MX1" s="1"/>
  <c r="MY1" s="1"/>
  <c r="MZ1" s="1"/>
  <c r="NA1" s="1"/>
  <c r="NB1" s="1"/>
  <c r="NC1" s="1"/>
  <c r="NC2" l="1"/>
  <c r="NC5"/>
  <c r="ND1"/>
  <c r="NE1" s="1"/>
  <c r="NF1" s="1"/>
  <c r="NG1" s="1"/>
  <c r="NH1" s="1"/>
  <c r="NI1" s="1"/>
</calcChain>
</file>

<file path=xl/sharedStrings.xml><?xml version="1.0" encoding="utf-8"?>
<sst xmlns="http://schemas.openxmlformats.org/spreadsheetml/2006/main" count="53" uniqueCount="53">
  <si>
    <t>ID</t>
  </si>
  <si>
    <t>DateOffset</t>
  </si>
  <si>
    <t>WeekStartType</t>
  </si>
  <si>
    <t>Start 
Date</t>
  </si>
  <si>
    <t>Actual 
End Date</t>
  </si>
  <si>
    <t>Planned 
End Date</t>
  </si>
  <si>
    <t>GanttNoOfYears</t>
  </si>
  <si>
    <t>ShowFY</t>
  </si>
  <si>
    <t>PM</t>
  </si>
  <si>
    <t>Today</t>
  </si>
  <si>
    <t>Name</t>
  </si>
  <si>
    <t>Description</t>
  </si>
  <si>
    <t>Value</t>
  </si>
  <si>
    <t>Used by the scrollbar. Do not manually change.</t>
  </si>
  <si>
    <t>Toggles between splitting years into Financial Years (e.g. 2009/10) or Calendar Years (e.g. 2009). Set to TRUE if you want to display Financial Years.</t>
  </si>
  <si>
    <t>Sets the day of the week to display as the start of the week (e.g. 2 = Monday).</t>
  </si>
  <si>
    <t>Sets the date coverage of the Gantt chart (i.e. the latest date that can be displayed).</t>
  </si>
  <si>
    <t>Task Description</t>
  </si>
  <si>
    <t>Start</t>
  </si>
  <si>
    <t>Version 1.0</t>
  </si>
  <si>
    <t>Work Days Planned</t>
  </si>
  <si>
    <t>Work Days Elapsed</t>
  </si>
  <si>
    <t>Work Days Remain</t>
  </si>
  <si>
    <t>Work Days Overrun</t>
  </si>
  <si>
    <t>Sub-task 3</t>
  </si>
  <si>
    <t>Sub-task 4</t>
  </si>
  <si>
    <t>Sub-task 5</t>
  </si>
  <si>
    <t>Sub-task 6</t>
  </si>
  <si>
    <t>Initial Documentation</t>
  </si>
  <si>
    <t>Study LUTZ Pathfinder specification</t>
  </si>
  <si>
    <t>Mechanical Design</t>
  </si>
  <si>
    <t>Design Ackermann steering</t>
  </si>
  <si>
    <t>Gather requirements</t>
  </si>
  <si>
    <t>Design chassis</t>
  </si>
  <si>
    <t>Design drivetrain</t>
  </si>
  <si>
    <t>Design body work for the vehicle</t>
  </si>
  <si>
    <t>Electrical &amp; Software Design</t>
  </si>
  <si>
    <t>Source electronic components</t>
  </si>
  <si>
    <t>Design control system</t>
  </si>
  <si>
    <t>Manufacture</t>
  </si>
  <si>
    <t>Source required materials</t>
  </si>
  <si>
    <t>Source necessary mechnical parts</t>
  </si>
  <si>
    <t>Manufacture base vehicle</t>
  </si>
  <si>
    <t>Control Implementation</t>
  </si>
  <si>
    <t>Install ROS</t>
  </si>
  <si>
    <t>Implement speed and steer API</t>
  </si>
  <si>
    <t>Testing</t>
  </si>
  <si>
    <t>System Test</t>
  </si>
  <si>
    <t>Bug fixes/improvements</t>
  </si>
  <si>
    <t>Add cosmetic improvements</t>
  </si>
  <si>
    <t>Final testing</t>
  </si>
  <si>
    <t>CavLab Project</t>
  </si>
  <si>
    <t>Hongfei Chen</t>
  </si>
</sst>
</file>

<file path=xl/styles.xml><?xml version="1.0" encoding="utf-8"?>
<styleSheet xmlns="http://schemas.openxmlformats.org/spreadsheetml/2006/main">
  <numFmts count="2">
    <numFmt numFmtId="164" formatCode="0#"/>
    <numFmt numFmtId="165" formatCode="dd\-mmm\-yy;;"/>
  </numFmts>
  <fonts count="20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i/>
      <sz val="10"/>
      <color indexed="9"/>
      <name val="Verdana"/>
      <family val="2"/>
    </font>
    <font>
      <sz val="10"/>
      <color indexed="9"/>
      <name val="Verdana"/>
      <family val="2"/>
    </font>
    <font>
      <b/>
      <sz val="8"/>
      <name val="Verdana"/>
      <family val="2"/>
    </font>
    <font>
      <sz val="8"/>
      <name val="Verdana"/>
      <family val="2"/>
    </font>
    <font>
      <b/>
      <sz val="8"/>
      <color theme="1"/>
      <name val="Verdana"/>
      <family val="2"/>
    </font>
    <font>
      <b/>
      <sz val="10"/>
      <color theme="1"/>
      <name val="Verdana"/>
      <family val="2"/>
    </font>
    <font>
      <b/>
      <sz val="10"/>
      <name val="Verdana"/>
      <family val="2"/>
    </font>
    <font>
      <b/>
      <sz val="10"/>
      <color rgb="FFFF0000"/>
      <name val="Verdana"/>
      <family val="2"/>
    </font>
    <font>
      <b/>
      <sz val="10"/>
      <color theme="4" tint="-0.499984740745262"/>
      <name val="Verdana"/>
      <family val="2"/>
    </font>
    <font>
      <b/>
      <sz val="16"/>
      <color theme="0"/>
      <name val="Verdana"/>
      <family val="2"/>
    </font>
    <font>
      <b/>
      <sz val="8"/>
      <color theme="0"/>
      <name val="Verdana"/>
      <family val="2"/>
    </font>
    <font>
      <b/>
      <sz val="14"/>
      <color theme="0"/>
      <name val="Verdana"/>
      <family val="2"/>
    </font>
    <font>
      <sz val="8"/>
      <color theme="1"/>
      <name val="Verdana"/>
      <family val="2"/>
    </font>
    <font>
      <sz val="8"/>
      <color theme="0"/>
      <name val="Verdana"/>
      <family val="2"/>
    </font>
    <font>
      <sz val="10"/>
      <color rgb="FFFF0000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9966"/>
        <bgColor indexed="64"/>
      </patternFill>
    </fill>
    <fill>
      <patternFill patternType="solid">
        <fgColor rgb="FF98BA9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rgb="FF669966"/>
      </bottom>
      <diagonal/>
    </border>
    <border>
      <left/>
      <right/>
      <top style="thin">
        <color rgb="FF669966"/>
      </top>
      <bottom style="thin">
        <color rgb="FF669966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3" fillId="0" borderId="0" xfId="0" applyFont="1" applyProtection="1"/>
    <xf numFmtId="0" fontId="3" fillId="0" borderId="0" xfId="0" applyFont="1" applyAlignment="1" applyProtection="1"/>
    <xf numFmtId="0" fontId="8" fillId="0" borderId="0" xfId="0" applyFont="1" applyFill="1" applyBorder="1" applyProtection="1"/>
    <xf numFmtId="0" fontId="8" fillId="0" borderId="0" xfId="0" applyFont="1" applyProtection="1"/>
    <xf numFmtId="0" fontId="8" fillId="0" borderId="0" xfId="0" applyFont="1" applyAlignment="1" applyProtection="1"/>
    <xf numFmtId="0" fontId="8" fillId="0" borderId="2" xfId="0" applyFont="1" applyFill="1" applyBorder="1" applyProtection="1"/>
    <xf numFmtId="1" fontId="8" fillId="0" borderId="2" xfId="0" applyNumberFormat="1" applyFont="1" applyFill="1" applyBorder="1" applyAlignment="1" applyProtection="1">
      <alignment horizontal="center"/>
    </xf>
    <xf numFmtId="1" fontId="8" fillId="0" borderId="2" xfId="1" applyNumberFormat="1" applyFont="1" applyFill="1" applyBorder="1" applyAlignment="1" applyProtection="1">
      <alignment horizontal="center"/>
    </xf>
    <xf numFmtId="0" fontId="8" fillId="0" borderId="6" xfId="0" applyFont="1" applyFill="1" applyBorder="1" applyProtection="1"/>
    <xf numFmtId="0" fontId="8" fillId="0" borderId="7" xfId="0" applyFont="1" applyFill="1" applyBorder="1" applyProtection="1"/>
    <xf numFmtId="165" fontId="8" fillId="0" borderId="0" xfId="0" applyNumberFormat="1" applyFont="1" applyProtection="1"/>
    <xf numFmtId="165" fontId="3" fillId="0" borderId="0" xfId="0" applyNumberFormat="1" applyFont="1" applyProtection="1"/>
    <xf numFmtId="0" fontId="3" fillId="0" borderId="10" xfId="0" applyFont="1" applyBorder="1" applyProtection="1"/>
    <xf numFmtId="0" fontId="8" fillId="0" borderId="3" xfId="0" applyFont="1" applyFill="1" applyBorder="1" applyProtection="1"/>
    <xf numFmtId="0" fontId="8" fillId="0" borderId="4" xfId="0" applyFont="1" applyFill="1" applyBorder="1" applyProtection="1"/>
    <xf numFmtId="0" fontId="8" fillId="0" borderId="5" xfId="0" applyFont="1" applyFill="1" applyBorder="1" applyProtection="1"/>
    <xf numFmtId="0" fontId="3" fillId="0" borderId="0" xfId="0" applyFont="1" applyFill="1" applyProtection="1"/>
    <xf numFmtId="0" fontId="8" fillId="0" borderId="2" xfId="0" applyNumberFormat="1" applyFont="1" applyFill="1" applyBorder="1" applyAlignment="1" applyProtection="1">
      <alignment horizontal="left"/>
      <protection locked="0"/>
    </xf>
    <xf numFmtId="0" fontId="8" fillId="0" borderId="2" xfId="0" applyFont="1" applyFill="1" applyBorder="1" applyAlignment="1" applyProtection="1">
      <protection locked="0"/>
    </xf>
    <xf numFmtId="165" fontId="8" fillId="0" borderId="2" xfId="0" applyNumberFormat="1" applyFont="1" applyFill="1" applyBorder="1" applyAlignment="1" applyProtection="1">
      <alignment horizontal="right"/>
      <protection locked="0"/>
    </xf>
    <xf numFmtId="0" fontId="9" fillId="0" borderId="1" xfId="0" applyFont="1" applyBorder="1" applyAlignment="1" applyProtection="1">
      <alignment horizontal="center" vertical="center" wrapText="1"/>
    </xf>
    <xf numFmtId="0" fontId="7" fillId="5" borderId="1" xfId="0" applyFont="1" applyFill="1" applyBorder="1" applyAlignment="1" applyProtection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 wrapText="1"/>
    </xf>
    <xf numFmtId="0" fontId="7" fillId="0" borderId="12" xfId="0" applyFont="1" applyFill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12" xfId="0" applyFont="1" applyBorder="1" applyAlignment="1" applyProtection="1">
      <alignment horizontal="center" vertical="center" wrapText="1"/>
    </xf>
    <xf numFmtId="0" fontId="9" fillId="7" borderId="1" xfId="0" applyFont="1" applyFill="1" applyBorder="1" applyAlignment="1" applyProtection="1">
      <alignment horizontal="center" vertical="center" wrapText="1"/>
    </xf>
    <xf numFmtId="15" fontId="19" fillId="0" borderId="11" xfId="0" applyNumberFormat="1" applyFont="1" applyBorder="1" applyAlignment="1" applyProtection="1">
      <alignment vertical="top"/>
    </xf>
    <xf numFmtId="0" fontId="1" fillId="0" borderId="0" xfId="0" applyFont="1" applyFill="1" applyAlignment="1" applyProtection="1"/>
    <xf numFmtId="0" fontId="1" fillId="0" borderId="0" xfId="0" applyFont="1" applyProtection="1"/>
    <xf numFmtId="0" fontId="4" fillId="2" borderId="0" xfId="0" applyFont="1" applyFill="1" applyBorder="1" applyAlignment="1" applyProtection="1"/>
    <xf numFmtId="0" fontId="1" fillId="0" borderId="11" xfId="0" applyFont="1" applyFill="1" applyBorder="1" applyAlignment="1" applyProtection="1"/>
    <xf numFmtId="14" fontId="5" fillId="6" borderId="0" xfId="0" applyNumberFormat="1" applyFont="1" applyFill="1" applyProtection="1"/>
    <xf numFmtId="14" fontId="6" fillId="6" borderId="0" xfId="0" applyNumberFormat="1" applyFont="1" applyFill="1" applyProtection="1"/>
    <xf numFmtId="0" fontId="8" fillId="0" borderId="0" xfId="0" applyNumberFormat="1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protection locked="0"/>
    </xf>
    <xf numFmtId="165" fontId="8" fillId="0" borderId="0" xfId="0" applyNumberFormat="1" applyFont="1" applyFill="1" applyBorder="1" applyAlignment="1" applyProtection="1">
      <alignment horizontal="right"/>
      <protection locked="0"/>
    </xf>
    <xf numFmtId="1" fontId="8" fillId="0" borderId="0" xfId="0" applyNumberFormat="1" applyFont="1" applyFill="1" applyBorder="1" applyAlignment="1" applyProtection="1">
      <alignment horizontal="center"/>
    </xf>
    <xf numFmtId="1" fontId="8" fillId="0" borderId="0" xfId="1" applyNumberFormat="1" applyFont="1" applyFill="1" applyBorder="1" applyAlignment="1" applyProtection="1">
      <alignment horizontal="center"/>
    </xf>
    <xf numFmtId="0" fontId="14" fillId="6" borderId="0" xfId="0" applyFont="1" applyFill="1" applyBorder="1" applyAlignment="1" applyProtection="1">
      <alignment vertical="center"/>
    </xf>
    <xf numFmtId="0" fontId="15" fillId="6" borderId="0" xfId="0" applyFont="1" applyFill="1" applyBorder="1" applyAlignment="1" applyProtection="1">
      <alignment horizontal="right" indent="1"/>
    </xf>
    <xf numFmtId="0" fontId="11" fillId="0" borderId="14" xfId="0" applyFont="1" applyBorder="1" applyAlignment="1" applyProtection="1">
      <alignment horizontal="right" vertical="center"/>
    </xf>
    <xf numFmtId="0" fontId="4" fillId="0" borderId="14" xfId="0" applyFont="1" applyBorder="1" applyAlignment="1" applyProtection="1">
      <alignment horizontal="left" vertical="center"/>
      <protection locked="0"/>
    </xf>
    <xf numFmtId="0" fontId="10" fillId="0" borderId="15" xfId="0" applyFont="1" applyBorder="1" applyAlignment="1" applyProtection="1">
      <alignment horizontal="right" vertical="center"/>
    </xf>
    <xf numFmtId="15" fontId="4" fillId="0" borderId="15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right" vertical="center"/>
    </xf>
    <xf numFmtId="15" fontId="12" fillId="0" borderId="11" xfId="0" applyNumberFormat="1" applyFont="1" applyBorder="1" applyAlignment="1" applyProtection="1">
      <alignment horizontal="left" vertical="center"/>
      <protection locked="0"/>
    </xf>
    <xf numFmtId="0" fontId="13" fillId="3" borderId="0" xfId="0" applyFont="1" applyFill="1" applyAlignment="1" applyProtection="1">
      <alignment vertical="center"/>
    </xf>
    <xf numFmtId="0" fontId="13" fillId="3" borderId="0" xfId="0" applyFont="1" applyFill="1" applyAlignment="1" applyProtection="1">
      <alignment vertical="center" wrapText="1"/>
    </xf>
    <xf numFmtId="0" fontId="1" fillId="0" borderId="13" xfId="0" applyFont="1" applyBorder="1" applyAlignment="1" applyProtection="1">
      <alignment vertical="center"/>
    </xf>
    <xf numFmtId="0" fontId="1" fillId="0" borderId="13" xfId="0" applyFont="1" applyBorder="1" applyAlignment="1" applyProtection="1">
      <alignment vertical="center" wrapText="1"/>
    </xf>
    <xf numFmtId="0" fontId="1" fillId="0" borderId="0" xfId="0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4" fillId="0" borderId="13" xfId="0" applyNumberFormat="1" applyFont="1" applyFill="1" applyBorder="1" applyAlignment="1" applyProtection="1">
      <alignment horizontal="center" vertical="center"/>
      <protection locked="0"/>
    </xf>
    <xf numFmtId="1" fontId="4" fillId="0" borderId="13" xfId="0" applyNumberFormat="1" applyFont="1" applyFill="1" applyBorder="1" applyAlignment="1" applyProtection="1">
      <alignment horizontal="center" vertical="center"/>
      <protection locked="0"/>
    </xf>
    <xf numFmtId="0" fontId="1" fillId="0" borderId="13" xfId="0" applyFont="1" applyBorder="1" applyAlignment="1" applyProtection="1">
      <alignment horizontal="center" vertical="center"/>
      <protection locked="0"/>
    </xf>
    <xf numFmtId="0" fontId="8" fillId="0" borderId="8" xfId="0" applyNumberFormat="1" applyFont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 textRotation="90"/>
    </xf>
    <xf numFmtId="164" fontId="18" fillId="0" borderId="0" xfId="0" applyNumberFormat="1" applyFont="1" applyFill="1" applyBorder="1" applyAlignment="1" applyProtection="1">
      <alignment horizontal="center" textRotation="90"/>
    </xf>
    <xf numFmtId="0" fontId="17" fillId="0" borderId="8" xfId="0" applyNumberFormat="1" applyFont="1" applyBorder="1" applyAlignment="1" applyProtection="1">
      <alignment horizontal="center"/>
    </xf>
    <xf numFmtId="0" fontId="16" fillId="6" borderId="0" xfId="0" applyFont="1" applyFill="1" applyBorder="1" applyAlignment="1" applyProtection="1">
      <alignment horizontal="left" vertical="center"/>
      <protection locked="0"/>
    </xf>
    <xf numFmtId="164" fontId="18" fillId="0" borderId="9" xfId="0" applyNumberFormat="1" applyFont="1" applyFill="1" applyBorder="1" applyAlignment="1" applyProtection="1">
      <alignment horizontal="center" textRotation="90"/>
    </xf>
  </cellXfs>
  <cellStyles count="2">
    <cellStyle name="Normal" xfId="0" builtinId="0"/>
    <cellStyle name="Percent" xfId="1" builtinId="5"/>
  </cellStyles>
  <dxfs count="10">
    <dxf>
      <fill>
        <patternFill>
          <bgColor theme="5" tint="0.39994506668294322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669966"/>
        </patternFill>
      </fill>
      <border>
        <left style="thin">
          <color rgb="FF669966"/>
        </left>
        <right style="thin">
          <color rgb="FF669966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rgb="FF98BA98"/>
        </patternFill>
      </fill>
      <border>
        <left style="thin">
          <color rgb="FF98BA98"/>
        </left>
        <right style="thin">
          <color rgb="FF98BA98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0.39994506668294322"/>
        </patternFill>
      </fill>
      <border>
        <left style="thin">
          <color theme="4" tint="0.39994506668294322"/>
        </left>
        <right style="thin">
          <color theme="4" tint="0.3999450666829432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4" tint="-0.499984740745262"/>
        </patternFill>
      </fill>
      <border>
        <left style="thin">
          <color theme="4" tint="-0.499984740745262"/>
        </left>
        <right style="thin">
          <color theme="4" tint="-0.499984740745262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5" tint="-0.499984740745262"/>
        </patternFill>
      </fill>
      <border>
        <left style="thin">
          <color theme="5" tint="-0.499984740745262"/>
        </left>
        <right style="thin">
          <color theme="5" tint="-0.499984740745262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ndense val="0"/>
        <extend val="0"/>
        <color auto="1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theme="1"/>
      </font>
      <border>
        <left style="thin">
          <color theme="0" tint="-0.24994659260841701"/>
        </left>
        <vertical/>
        <horizontal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669966"/>
      <color rgb="FF98BA9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croll" dx="15" fmlaLink="DateOffset" horiz="1" max="52" page="4" val="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professionalexcel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1</xdr:row>
      <xdr:rowOff>28575</xdr:rowOff>
    </xdr:from>
    <xdr:to>
      <xdr:col>8</xdr:col>
      <xdr:colOff>514758</xdr:colOff>
      <xdr:row>2</xdr:row>
      <xdr:rowOff>133350</xdr:rowOff>
    </xdr:to>
    <xdr:pic>
      <xdr:nvPicPr>
        <xdr:cNvPr id="2" name="Picture 1" descr="logo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315075" y="285750"/>
          <a:ext cx="771933" cy="2952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Gantt" filterMode="1">
    <outlinePr summaryBelow="0" summaryRight="0"/>
    <pageSetUpPr fitToPage="1"/>
  </sheetPr>
  <dimension ref="A1:NJ53"/>
  <sheetViews>
    <sheetView showGridLines="0" showRowColHeaders="0" tabSelected="1" zoomScaleNormal="100" workbookViewId="0">
      <pane ySplit="5" topLeftCell="A6" activePane="bottomLeft" state="frozen"/>
      <selection pane="bottomLeft" activeCell="NJ27" sqref="NJ27"/>
    </sheetView>
  </sheetViews>
  <sheetFormatPr defaultColWidth="9.140625" defaultRowHeight="14.25"/>
  <cols>
    <col min="1" max="1" width="7.5703125" style="1" bestFit="1" customWidth="1"/>
    <col min="2" max="2" width="32.28515625" style="2" customWidth="1"/>
    <col min="3" max="5" width="10.7109375" style="1" customWidth="1"/>
    <col min="6" max="9" width="8.5703125" style="1" customWidth="1"/>
    <col min="10" max="373" width="0.28515625" style="1" customWidth="1"/>
    <col min="374" max="374" width="9.42578125" style="1" bestFit="1" customWidth="1"/>
    <col min="375" max="16384" width="9.140625" style="1"/>
  </cols>
  <sheetData>
    <row r="1" spans="1:374" s="13" customFormat="1" ht="20.25" thickTop="1">
      <c r="A1" s="61" t="s">
        <v>51</v>
      </c>
      <c r="B1" s="61"/>
      <c r="C1" s="61"/>
      <c r="D1" s="61"/>
      <c r="E1" s="61"/>
      <c r="F1" s="61"/>
      <c r="G1" s="61"/>
      <c r="H1" s="40"/>
      <c r="I1" s="41" t="s">
        <v>19</v>
      </c>
      <c r="J1" s="33">
        <f>(Start-WEEKDAY(Start,1)+WeekStartType)+7*DateOffset</f>
        <v>43017</v>
      </c>
      <c r="K1" s="34">
        <f t="shared" ref="K1:BV1" si="0">J1+1</f>
        <v>43018</v>
      </c>
      <c r="L1" s="34">
        <f t="shared" si="0"/>
        <v>43019</v>
      </c>
      <c r="M1" s="34">
        <f t="shared" si="0"/>
        <v>43020</v>
      </c>
      <c r="N1" s="34">
        <f t="shared" si="0"/>
        <v>43021</v>
      </c>
      <c r="O1" s="34">
        <f t="shared" si="0"/>
        <v>43022</v>
      </c>
      <c r="P1" s="34">
        <f t="shared" si="0"/>
        <v>43023</v>
      </c>
      <c r="Q1" s="34">
        <f t="shared" si="0"/>
        <v>43024</v>
      </c>
      <c r="R1" s="34">
        <f t="shared" si="0"/>
        <v>43025</v>
      </c>
      <c r="S1" s="34">
        <f t="shared" si="0"/>
        <v>43026</v>
      </c>
      <c r="T1" s="34">
        <f t="shared" si="0"/>
        <v>43027</v>
      </c>
      <c r="U1" s="34">
        <f t="shared" si="0"/>
        <v>43028</v>
      </c>
      <c r="V1" s="34">
        <f t="shared" si="0"/>
        <v>43029</v>
      </c>
      <c r="W1" s="34">
        <f t="shared" si="0"/>
        <v>43030</v>
      </c>
      <c r="X1" s="34">
        <f t="shared" si="0"/>
        <v>43031</v>
      </c>
      <c r="Y1" s="34">
        <f t="shared" si="0"/>
        <v>43032</v>
      </c>
      <c r="Z1" s="34">
        <f t="shared" si="0"/>
        <v>43033</v>
      </c>
      <c r="AA1" s="34">
        <f t="shared" si="0"/>
        <v>43034</v>
      </c>
      <c r="AB1" s="34">
        <f t="shared" si="0"/>
        <v>43035</v>
      </c>
      <c r="AC1" s="34">
        <f t="shared" si="0"/>
        <v>43036</v>
      </c>
      <c r="AD1" s="34">
        <f t="shared" si="0"/>
        <v>43037</v>
      </c>
      <c r="AE1" s="34">
        <f t="shared" si="0"/>
        <v>43038</v>
      </c>
      <c r="AF1" s="34">
        <f t="shared" si="0"/>
        <v>43039</v>
      </c>
      <c r="AG1" s="34">
        <f t="shared" si="0"/>
        <v>43040</v>
      </c>
      <c r="AH1" s="34">
        <f t="shared" si="0"/>
        <v>43041</v>
      </c>
      <c r="AI1" s="34">
        <f t="shared" si="0"/>
        <v>43042</v>
      </c>
      <c r="AJ1" s="34">
        <f t="shared" si="0"/>
        <v>43043</v>
      </c>
      <c r="AK1" s="34">
        <f t="shared" si="0"/>
        <v>43044</v>
      </c>
      <c r="AL1" s="34">
        <f t="shared" si="0"/>
        <v>43045</v>
      </c>
      <c r="AM1" s="34">
        <f t="shared" si="0"/>
        <v>43046</v>
      </c>
      <c r="AN1" s="34">
        <f t="shared" si="0"/>
        <v>43047</v>
      </c>
      <c r="AO1" s="34">
        <f t="shared" si="0"/>
        <v>43048</v>
      </c>
      <c r="AP1" s="34">
        <f t="shared" si="0"/>
        <v>43049</v>
      </c>
      <c r="AQ1" s="34">
        <f t="shared" si="0"/>
        <v>43050</v>
      </c>
      <c r="AR1" s="34">
        <f t="shared" si="0"/>
        <v>43051</v>
      </c>
      <c r="AS1" s="34">
        <f t="shared" si="0"/>
        <v>43052</v>
      </c>
      <c r="AT1" s="34">
        <f t="shared" si="0"/>
        <v>43053</v>
      </c>
      <c r="AU1" s="34">
        <f t="shared" si="0"/>
        <v>43054</v>
      </c>
      <c r="AV1" s="34">
        <f t="shared" si="0"/>
        <v>43055</v>
      </c>
      <c r="AW1" s="34">
        <f t="shared" si="0"/>
        <v>43056</v>
      </c>
      <c r="AX1" s="34">
        <f t="shared" si="0"/>
        <v>43057</v>
      </c>
      <c r="AY1" s="34">
        <f t="shared" si="0"/>
        <v>43058</v>
      </c>
      <c r="AZ1" s="34">
        <f t="shared" si="0"/>
        <v>43059</v>
      </c>
      <c r="BA1" s="34">
        <f t="shared" si="0"/>
        <v>43060</v>
      </c>
      <c r="BB1" s="34">
        <f t="shared" si="0"/>
        <v>43061</v>
      </c>
      <c r="BC1" s="34">
        <f t="shared" si="0"/>
        <v>43062</v>
      </c>
      <c r="BD1" s="34">
        <f t="shared" si="0"/>
        <v>43063</v>
      </c>
      <c r="BE1" s="34">
        <f t="shared" si="0"/>
        <v>43064</v>
      </c>
      <c r="BF1" s="34">
        <f t="shared" si="0"/>
        <v>43065</v>
      </c>
      <c r="BG1" s="34">
        <f t="shared" si="0"/>
        <v>43066</v>
      </c>
      <c r="BH1" s="34">
        <f t="shared" si="0"/>
        <v>43067</v>
      </c>
      <c r="BI1" s="34">
        <f t="shared" si="0"/>
        <v>43068</v>
      </c>
      <c r="BJ1" s="34">
        <f t="shared" si="0"/>
        <v>43069</v>
      </c>
      <c r="BK1" s="34">
        <f t="shared" si="0"/>
        <v>43070</v>
      </c>
      <c r="BL1" s="34">
        <f t="shared" si="0"/>
        <v>43071</v>
      </c>
      <c r="BM1" s="34">
        <f t="shared" si="0"/>
        <v>43072</v>
      </c>
      <c r="BN1" s="34">
        <f t="shared" si="0"/>
        <v>43073</v>
      </c>
      <c r="BO1" s="34">
        <f t="shared" si="0"/>
        <v>43074</v>
      </c>
      <c r="BP1" s="34">
        <f t="shared" si="0"/>
        <v>43075</v>
      </c>
      <c r="BQ1" s="34">
        <f t="shared" si="0"/>
        <v>43076</v>
      </c>
      <c r="BR1" s="34">
        <f t="shared" si="0"/>
        <v>43077</v>
      </c>
      <c r="BS1" s="34">
        <f t="shared" si="0"/>
        <v>43078</v>
      </c>
      <c r="BT1" s="34">
        <f t="shared" si="0"/>
        <v>43079</v>
      </c>
      <c r="BU1" s="34">
        <f t="shared" si="0"/>
        <v>43080</v>
      </c>
      <c r="BV1" s="34">
        <f t="shared" si="0"/>
        <v>43081</v>
      </c>
      <c r="BW1" s="34">
        <f t="shared" ref="BW1:CY1" si="1">BV1+1</f>
        <v>43082</v>
      </c>
      <c r="BX1" s="34">
        <f t="shared" si="1"/>
        <v>43083</v>
      </c>
      <c r="BY1" s="34">
        <f t="shared" si="1"/>
        <v>43084</v>
      </c>
      <c r="BZ1" s="34">
        <f t="shared" si="1"/>
        <v>43085</v>
      </c>
      <c r="CA1" s="34">
        <f t="shared" si="1"/>
        <v>43086</v>
      </c>
      <c r="CB1" s="34">
        <f t="shared" si="1"/>
        <v>43087</v>
      </c>
      <c r="CC1" s="34">
        <f t="shared" si="1"/>
        <v>43088</v>
      </c>
      <c r="CD1" s="34">
        <f t="shared" si="1"/>
        <v>43089</v>
      </c>
      <c r="CE1" s="34">
        <f t="shared" si="1"/>
        <v>43090</v>
      </c>
      <c r="CF1" s="34">
        <f t="shared" si="1"/>
        <v>43091</v>
      </c>
      <c r="CG1" s="34">
        <f t="shared" si="1"/>
        <v>43092</v>
      </c>
      <c r="CH1" s="34">
        <f t="shared" si="1"/>
        <v>43093</v>
      </c>
      <c r="CI1" s="34">
        <f t="shared" si="1"/>
        <v>43094</v>
      </c>
      <c r="CJ1" s="34">
        <f t="shared" si="1"/>
        <v>43095</v>
      </c>
      <c r="CK1" s="34">
        <f t="shared" si="1"/>
        <v>43096</v>
      </c>
      <c r="CL1" s="34">
        <f t="shared" si="1"/>
        <v>43097</v>
      </c>
      <c r="CM1" s="34">
        <f t="shared" si="1"/>
        <v>43098</v>
      </c>
      <c r="CN1" s="34">
        <f t="shared" si="1"/>
        <v>43099</v>
      </c>
      <c r="CO1" s="34">
        <f t="shared" si="1"/>
        <v>43100</v>
      </c>
      <c r="CP1" s="34">
        <f t="shared" si="1"/>
        <v>43101</v>
      </c>
      <c r="CQ1" s="34">
        <f t="shared" si="1"/>
        <v>43102</v>
      </c>
      <c r="CR1" s="34">
        <f t="shared" si="1"/>
        <v>43103</v>
      </c>
      <c r="CS1" s="34">
        <f t="shared" si="1"/>
        <v>43104</v>
      </c>
      <c r="CT1" s="34">
        <f t="shared" si="1"/>
        <v>43105</v>
      </c>
      <c r="CU1" s="34">
        <f t="shared" si="1"/>
        <v>43106</v>
      </c>
      <c r="CV1" s="34">
        <f t="shared" si="1"/>
        <v>43107</v>
      </c>
      <c r="CW1" s="34">
        <f t="shared" si="1"/>
        <v>43108</v>
      </c>
      <c r="CX1" s="34">
        <f t="shared" si="1"/>
        <v>43109</v>
      </c>
      <c r="CY1" s="34">
        <f t="shared" si="1"/>
        <v>43110</v>
      </c>
      <c r="CZ1" s="34">
        <f t="shared" ref="CZ1" si="2">CY1+1</f>
        <v>43111</v>
      </c>
      <c r="DA1" s="34">
        <f t="shared" ref="DA1" si="3">CZ1+1</f>
        <v>43112</v>
      </c>
      <c r="DB1" s="34">
        <f t="shared" ref="DB1" si="4">DA1+1</f>
        <v>43113</v>
      </c>
      <c r="DC1" s="34">
        <f t="shared" ref="DC1" si="5">DB1+1</f>
        <v>43114</v>
      </c>
      <c r="DD1" s="34">
        <f t="shared" ref="DD1" si="6">DC1+1</f>
        <v>43115</v>
      </c>
      <c r="DE1" s="34">
        <f t="shared" ref="DE1" si="7">DD1+1</f>
        <v>43116</v>
      </c>
      <c r="DF1" s="34">
        <f t="shared" ref="DF1" si="8">DE1+1</f>
        <v>43117</v>
      </c>
      <c r="DG1" s="34">
        <f t="shared" ref="DG1" si="9">DF1+1</f>
        <v>43118</v>
      </c>
      <c r="DH1" s="34">
        <f t="shared" ref="DH1" si="10">DG1+1</f>
        <v>43119</v>
      </c>
      <c r="DI1" s="34">
        <f t="shared" ref="DI1" si="11">DH1+1</f>
        <v>43120</v>
      </c>
      <c r="DJ1" s="34">
        <f t="shared" ref="DJ1" si="12">DI1+1</f>
        <v>43121</v>
      </c>
      <c r="DK1" s="34">
        <f t="shared" ref="DK1" si="13">DJ1+1</f>
        <v>43122</v>
      </c>
      <c r="DL1" s="34">
        <f t="shared" ref="DL1" si="14">DK1+1</f>
        <v>43123</v>
      </c>
      <c r="DM1" s="34">
        <f t="shared" ref="DM1" si="15">DL1+1</f>
        <v>43124</v>
      </c>
      <c r="DN1" s="34">
        <f t="shared" ref="DN1" si="16">DM1+1</f>
        <v>43125</v>
      </c>
      <c r="DO1" s="34">
        <f t="shared" ref="DO1" si="17">DN1+1</f>
        <v>43126</v>
      </c>
      <c r="DP1" s="34">
        <f t="shared" ref="DP1" si="18">DO1+1</f>
        <v>43127</v>
      </c>
      <c r="DQ1" s="34">
        <f t="shared" ref="DQ1" si="19">DP1+1</f>
        <v>43128</v>
      </c>
      <c r="DR1" s="34">
        <f t="shared" ref="DR1" si="20">DQ1+1</f>
        <v>43129</v>
      </c>
      <c r="DS1" s="34">
        <f t="shared" ref="DS1" si="21">DR1+1</f>
        <v>43130</v>
      </c>
      <c r="DT1" s="34">
        <f t="shared" ref="DT1" si="22">DS1+1</f>
        <v>43131</v>
      </c>
      <c r="DU1" s="34">
        <f t="shared" ref="DU1" si="23">DT1+1</f>
        <v>43132</v>
      </c>
      <c r="DV1" s="34">
        <f t="shared" ref="DV1" si="24">DU1+1</f>
        <v>43133</v>
      </c>
      <c r="DW1" s="34">
        <f t="shared" ref="DW1" si="25">DV1+1</f>
        <v>43134</v>
      </c>
      <c r="DX1" s="34">
        <f t="shared" ref="DX1" si="26">DW1+1</f>
        <v>43135</v>
      </c>
      <c r="DY1" s="34">
        <f t="shared" ref="DY1" si="27">DX1+1</f>
        <v>43136</v>
      </c>
      <c r="DZ1" s="34">
        <f t="shared" ref="DZ1" si="28">DY1+1</f>
        <v>43137</v>
      </c>
      <c r="EA1" s="34">
        <f t="shared" ref="EA1" si="29">DZ1+1</f>
        <v>43138</v>
      </c>
      <c r="EB1" s="34">
        <f t="shared" ref="EB1" si="30">EA1+1</f>
        <v>43139</v>
      </c>
      <c r="EC1" s="34">
        <f t="shared" ref="EC1" si="31">EB1+1</f>
        <v>43140</v>
      </c>
      <c r="ED1" s="34">
        <f t="shared" ref="ED1" si="32">EC1+1</f>
        <v>43141</v>
      </c>
      <c r="EE1" s="34">
        <f t="shared" ref="EE1" si="33">ED1+1</f>
        <v>43142</v>
      </c>
      <c r="EF1" s="34">
        <f t="shared" ref="EF1" si="34">EE1+1</f>
        <v>43143</v>
      </c>
      <c r="EG1" s="34">
        <f t="shared" ref="EG1" si="35">EF1+1</f>
        <v>43144</v>
      </c>
      <c r="EH1" s="34">
        <f t="shared" ref="EH1" si="36">EG1+1</f>
        <v>43145</v>
      </c>
      <c r="EI1" s="34">
        <f t="shared" ref="EI1" si="37">EH1+1</f>
        <v>43146</v>
      </c>
      <c r="EJ1" s="34">
        <f t="shared" ref="EJ1" si="38">EI1+1</f>
        <v>43147</v>
      </c>
      <c r="EK1" s="34">
        <f t="shared" ref="EK1" si="39">EJ1+1</f>
        <v>43148</v>
      </c>
      <c r="EL1" s="34">
        <f t="shared" ref="EL1" si="40">EK1+1</f>
        <v>43149</v>
      </c>
      <c r="EM1" s="34">
        <f t="shared" ref="EM1" si="41">EL1+1</f>
        <v>43150</v>
      </c>
      <c r="EN1" s="34">
        <f t="shared" ref="EN1" si="42">EM1+1</f>
        <v>43151</v>
      </c>
      <c r="EO1" s="34">
        <f t="shared" ref="EO1" si="43">EN1+1</f>
        <v>43152</v>
      </c>
      <c r="EP1" s="34">
        <f t="shared" ref="EP1" si="44">EO1+1</f>
        <v>43153</v>
      </c>
      <c r="EQ1" s="34">
        <f t="shared" ref="EQ1" si="45">EP1+1</f>
        <v>43154</v>
      </c>
      <c r="ER1" s="34">
        <f t="shared" ref="ER1" si="46">EQ1+1</f>
        <v>43155</v>
      </c>
      <c r="ES1" s="34">
        <f t="shared" ref="ES1" si="47">ER1+1</f>
        <v>43156</v>
      </c>
      <c r="ET1" s="34">
        <f t="shared" ref="ET1" si="48">ES1+1</f>
        <v>43157</v>
      </c>
      <c r="EU1" s="34">
        <f t="shared" ref="EU1" si="49">ET1+1</f>
        <v>43158</v>
      </c>
      <c r="EV1" s="34">
        <f t="shared" ref="EV1" si="50">EU1+1</f>
        <v>43159</v>
      </c>
      <c r="EW1" s="34">
        <f t="shared" ref="EW1" si="51">EV1+1</f>
        <v>43160</v>
      </c>
      <c r="EX1" s="34">
        <f t="shared" ref="EX1" si="52">EW1+1</f>
        <v>43161</v>
      </c>
      <c r="EY1" s="34">
        <f t="shared" ref="EY1" si="53">EX1+1</f>
        <v>43162</v>
      </c>
      <c r="EZ1" s="34">
        <f t="shared" ref="EZ1" si="54">EY1+1</f>
        <v>43163</v>
      </c>
      <c r="FA1" s="34">
        <f t="shared" ref="FA1" si="55">EZ1+1</f>
        <v>43164</v>
      </c>
      <c r="FB1" s="34">
        <f t="shared" ref="FB1" si="56">FA1+1</f>
        <v>43165</v>
      </c>
      <c r="FC1" s="34">
        <f t="shared" ref="FC1" si="57">FB1+1</f>
        <v>43166</v>
      </c>
      <c r="FD1" s="34">
        <f t="shared" ref="FD1" si="58">FC1+1</f>
        <v>43167</v>
      </c>
      <c r="FE1" s="34">
        <f t="shared" ref="FE1" si="59">FD1+1</f>
        <v>43168</v>
      </c>
      <c r="FF1" s="34">
        <f t="shared" ref="FF1" si="60">FE1+1</f>
        <v>43169</v>
      </c>
      <c r="FG1" s="34">
        <f t="shared" ref="FG1" si="61">FF1+1</f>
        <v>43170</v>
      </c>
      <c r="FH1" s="34">
        <f t="shared" ref="FH1" si="62">FG1+1</f>
        <v>43171</v>
      </c>
      <c r="FI1" s="34">
        <f t="shared" ref="FI1" si="63">FH1+1</f>
        <v>43172</v>
      </c>
      <c r="FJ1" s="34">
        <f t="shared" ref="FJ1" si="64">FI1+1</f>
        <v>43173</v>
      </c>
      <c r="FK1" s="34">
        <f t="shared" ref="FK1" si="65">FJ1+1</f>
        <v>43174</v>
      </c>
      <c r="FL1" s="34">
        <f t="shared" ref="FL1" si="66">FK1+1</f>
        <v>43175</v>
      </c>
      <c r="FM1" s="34">
        <f t="shared" ref="FM1" si="67">FL1+1</f>
        <v>43176</v>
      </c>
      <c r="FN1" s="34">
        <f t="shared" ref="FN1" si="68">FM1+1</f>
        <v>43177</v>
      </c>
      <c r="FO1" s="34">
        <f t="shared" ref="FO1" si="69">FN1+1</f>
        <v>43178</v>
      </c>
      <c r="FP1" s="34">
        <f t="shared" ref="FP1" si="70">FO1+1</f>
        <v>43179</v>
      </c>
      <c r="FQ1" s="34">
        <f t="shared" ref="FQ1" si="71">FP1+1</f>
        <v>43180</v>
      </c>
      <c r="FR1" s="34">
        <f t="shared" ref="FR1" si="72">FQ1+1</f>
        <v>43181</v>
      </c>
      <c r="FS1" s="34">
        <f t="shared" ref="FS1" si="73">FR1+1</f>
        <v>43182</v>
      </c>
      <c r="FT1" s="34">
        <f t="shared" ref="FT1" si="74">FS1+1</f>
        <v>43183</v>
      </c>
      <c r="FU1" s="34">
        <f t="shared" ref="FU1" si="75">FT1+1</f>
        <v>43184</v>
      </c>
      <c r="FV1" s="34">
        <f t="shared" ref="FV1" si="76">FU1+1</f>
        <v>43185</v>
      </c>
      <c r="FW1" s="34">
        <f t="shared" ref="FW1" si="77">FV1+1</f>
        <v>43186</v>
      </c>
      <c r="FX1" s="34">
        <f t="shared" ref="FX1" si="78">FW1+1</f>
        <v>43187</v>
      </c>
      <c r="FY1" s="34">
        <f t="shared" ref="FY1" si="79">FX1+1</f>
        <v>43188</v>
      </c>
      <c r="FZ1" s="34">
        <f t="shared" ref="FZ1" si="80">FY1+1</f>
        <v>43189</v>
      </c>
      <c r="GA1" s="34">
        <f t="shared" ref="GA1" si="81">FZ1+1</f>
        <v>43190</v>
      </c>
      <c r="GB1" s="34">
        <f t="shared" ref="GB1" si="82">GA1+1</f>
        <v>43191</v>
      </c>
      <c r="GC1" s="34">
        <f t="shared" ref="GC1" si="83">GB1+1</f>
        <v>43192</v>
      </c>
      <c r="GD1" s="34">
        <f t="shared" ref="GD1" si="84">GC1+1</f>
        <v>43193</v>
      </c>
      <c r="GE1" s="34">
        <f t="shared" ref="GE1" si="85">GD1+1</f>
        <v>43194</v>
      </c>
      <c r="GF1" s="34">
        <f t="shared" ref="GF1" si="86">GE1+1</f>
        <v>43195</v>
      </c>
      <c r="GG1" s="34">
        <f t="shared" ref="GG1" si="87">GF1+1</f>
        <v>43196</v>
      </c>
      <c r="GH1" s="34">
        <f t="shared" ref="GH1" si="88">GG1+1</f>
        <v>43197</v>
      </c>
      <c r="GI1" s="34">
        <f t="shared" ref="GI1" si="89">GH1+1</f>
        <v>43198</v>
      </c>
      <c r="GJ1" s="34">
        <f t="shared" ref="GJ1" si="90">GI1+1</f>
        <v>43199</v>
      </c>
      <c r="GK1" s="34">
        <f t="shared" ref="GK1" si="91">GJ1+1</f>
        <v>43200</v>
      </c>
      <c r="GL1" s="34">
        <f t="shared" ref="GL1" si="92">GK1+1</f>
        <v>43201</v>
      </c>
      <c r="GM1" s="34">
        <f t="shared" ref="GM1" si="93">GL1+1</f>
        <v>43202</v>
      </c>
      <c r="GN1" s="34">
        <f t="shared" ref="GN1" si="94">GM1+1</f>
        <v>43203</v>
      </c>
      <c r="GO1" s="34">
        <f t="shared" ref="GO1" si="95">GN1+1</f>
        <v>43204</v>
      </c>
      <c r="GP1" s="34">
        <f t="shared" ref="GP1" si="96">GO1+1</f>
        <v>43205</v>
      </c>
      <c r="GQ1" s="34">
        <f t="shared" ref="GQ1" si="97">GP1+1</f>
        <v>43206</v>
      </c>
      <c r="GR1" s="34">
        <f t="shared" ref="GR1" si="98">GQ1+1</f>
        <v>43207</v>
      </c>
      <c r="GS1" s="34">
        <f t="shared" ref="GS1" si="99">GR1+1</f>
        <v>43208</v>
      </c>
      <c r="GT1" s="34">
        <f t="shared" ref="GT1" si="100">GS1+1</f>
        <v>43209</v>
      </c>
      <c r="GU1" s="34">
        <f t="shared" ref="GU1" si="101">GT1+1</f>
        <v>43210</v>
      </c>
      <c r="GV1" s="34">
        <f t="shared" ref="GV1" si="102">GU1+1</f>
        <v>43211</v>
      </c>
      <c r="GW1" s="34">
        <f t="shared" ref="GW1" si="103">GV1+1</f>
        <v>43212</v>
      </c>
      <c r="GX1" s="34">
        <f t="shared" ref="GX1" si="104">GW1+1</f>
        <v>43213</v>
      </c>
      <c r="GY1" s="34">
        <f t="shared" ref="GY1" si="105">GX1+1</f>
        <v>43214</v>
      </c>
      <c r="GZ1" s="34">
        <f t="shared" ref="GZ1" si="106">GY1+1</f>
        <v>43215</v>
      </c>
      <c r="HA1" s="34">
        <f t="shared" ref="HA1" si="107">GZ1+1</f>
        <v>43216</v>
      </c>
      <c r="HB1" s="34">
        <f t="shared" ref="HB1" si="108">HA1+1</f>
        <v>43217</v>
      </c>
      <c r="HC1" s="34">
        <f t="shared" ref="HC1" si="109">HB1+1</f>
        <v>43218</v>
      </c>
      <c r="HD1" s="34">
        <f t="shared" ref="HD1" si="110">HC1+1</f>
        <v>43219</v>
      </c>
      <c r="HE1" s="34">
        <f t="shared" ref="HE1" si="111">HD1+1</f>
        <v>43220</v>
      </c>
      <c r="HF1" s="34">
        <f t="shared" ref="HF1" si="112">HE1+1</f>
        <v>43221</v>
      </c>
      <c r="HG1" s="34">
        <f t="shared" ref="HG1" si="113">HF1+1</f>
        <v>43222</v>
      </c>
      <c r="HH1" s="34">
        <f t="shared" ref="HH1" si="114">HG1+1</f>
        <v>43223</v>
      </c>
      <c r="HI1" s="34">
        <f t="shared" ref="HI1" si="115">HH1+1</f>
        <v>43224</v>
      </c>
      <c r="HJ1" s="34">
        <f t="shared" ref="HJ1" si="116">HI1+1</f>
        <v>43225</v>
      </c>
      <c r="HK1" s="34">
        <f t="shared" ref="HK1" si="117">HJ1+1</f>
        <v>43226</v>
      </c>
      <c r="HL1" s="34">
        <f t="shared" ref="HL1" si="118">HK1+1</f>
        <v>43227</v>
      </c>
      <c r="HM1" s="34">
        <f t="shared" ref="HM1" si="119">HL1+1</f>
        <v>43228</v>
      </c>
      <c r="HN1" s="34">
        <f t="shared" ref="HN1" si="120">HM1+1</f>
        <v>43229</v>
      </c>
      <c r="HO1" s="34">
        <f t="shared" ref="HO1" si="121">HN1+1</f>
        <v>43230</v>
      </c>
      <c r="HP1" s="34">
        <f t="shared" ref="HP1" si="122">HO1+1</f>
        <v>43231</v>
      </c>
      <c r="HQ1" s="34">
        <f t="shared" ref="HQ1" si="123">HP1+1</f>
        <v>43232</v>
      </c>
      <c r="HR1" s="34">
        <f t="shared" ref="HR1" si="124">HQ1+1</f>
        <v>43233</v>
      </c>
      <c r="HS1" s="34">
        <f t="shared" ref="HS1" si="125">HR1+1</f>
        <v>43234</v>
      </c>
      <c r="HT1" s="34">
        <f t="shared" ref="HT1" si="126">HS1+1</f>
        <v>43235</v>
      </c>
      <c r="HU1" s="34">
        <f t="shared" ref="HU1" si="127">HT1+1</f>
        <v>43236</v>
      </c>
      <c r="HV1" s="34">
        <f t="shared" ref="HV1" si="128">HU1+1</f>
        <v>43237</v>
      </c>
      <c r="HW1" s="34">
        <f t="shared" ref="HW1" si="129">HV1+1</f>
        <v>43238</v>
      </c>
      <c r="HX1" s="34">
        <f t="shared" ref="HX1" si="130">HW1+1</f>
        <v>43239</v>
      </c>
      <c r="HY1" s="34">
        <f t="shared" ref="HY1" si="131">HX1+1</f>
        <v>43240</v>
      </c>
      <c r="HZ1" s="34">
        <f t="shared" ref="HZ1" si="132">HY1+1</f>
        <v>43241</v>
      </c>
      <c r="IA1" s="34">
        <f t="shared" ref="IA1" si="133">HZ1+1</f>
        <v>43242</v>
      </c>
      <c r="IB1" s="34">
        <f t="shared" ref="IB1" si="134">IA1+1</f>
        <v>43243</v>
      </c>
      <c r="IC1" s="34">
        <f t="shared" ref="IC1" si="135">IB1+1</f>
        <v>43244</v>
      </c>
      <c r="ID1" s="34">
        <f t="shared" ref="ID1" si="136">IC1+1</f>
        <v>43245</v>
      </c>
      <c r="IE1" s="34">
        <f t="shared" ref="IE1" si="137">ID1+1</f>
        <v>43246</v>
      </c>
      <c r="IF1" s="34">
        <f t="shared" ref="IF1" si="138">IE1+1</f>
        <v>43247</v>
      </c>
      <c r="IG1" s="34">
        <f t="shared" ref="IG1" si="139">IF1+1</f>
        <v>43248</v>
      </c>
      <c r="IH1" s="34">
        <f t="shared" ref="IH1" si="140">IG1+1</f>
        <v>43249</v>
      </c>
      <c r="II1" s="34">
        <f t="shared" ref="II1" si="141">IH1+1</f>
        <v>43250</v>
      </c>
      <c r="IJ1" s="34">
        <f t="shared" ref="IJ1" si="142">II1+1</f>
        <v>43251</v>
      </c>
      <c r="IK1" s="34">
        <f t="shared" ref="IK1" si="143">IJ1+1</f>
        <v>43252</v>
      </c>
      <c r="IL1" s="34">
        <f t="shared" ref="IL1" si="144">IK1+1</f>
        <v>43253</v>
      </c>
      <c r="IM1" s="34">
        <f t="shared" ref="IM1" si="145">IL1+1</f>
        <v>43254</v>
      </c>
      <c r="IN1" s="34">
        <f t="shared" ref="IN1" si="146">IM1+1</f>
        <v>43255</v>
      </c>
      <c r="IO1" s="34">
        <f t="shared" ref="IO1" si="147">IN1+1</f>
        <v>43256</v>
      </c>
      <c r="IP1" s="34">
        <f t="shared" ref="IP1" si="148">IO1+1</f>
        <v>43257</v>
      </c>
      <c r="IQ1" s="34">
        <f t="shared" ref="IQ1" si="149">IP1+1</f>
        <v>43258</v>
      </c>
      <c r="IR1" s="34">
        <f t="shared" ref="IR1" si="150">IQ1+1</f>
        <v>43259</v>
      </c>
      <c r="IS1" s="34">
        <f t="shared" ref="IS1" si="151">IR1+1</f>
        <v>43260</v>
      </c>
      <c r="IT1" s="34">
        <f t="shared" ref="IT1" si="152">IS1+1</f>
        <v>43261</v>
      </c>
      <c r="IU1" s="34">
        <f t="shared" ref="IU1" si="153">IT1+1</f>
        <v>43262</v>
      </c>
      <c r="IV1" s="34">
        <f t="shared" ref="IV1" si="154">IU1+1</f>
        <v>43263</v>
      </c>
      <c r="IW1" s="34">
        <f t="shared" ref="IW1" si="155">IV1+1</f>
        <v>43264</v>
      </c>
      <c r="IX1" s="34">
        <f t="shared" ref="IX1" si="156">IW1+1</f>
        <v>43265</v>
      </c>
      <c r="IY1" s="34">
        <f t="shared" ref="IY1" si="157">IX1+1</f>
        <v>43266</v>
      </c>
      <c r="IZ1" s="34">
        <f t="shared" ref="IZ1" si="158">IY1+1</f>
        <v>43267</v>
      </c>
      <c r="JA1" s="34">
        <f t="shared" ref="JA1" si="159">IZ1+1</f>
        <v>43268</v>
      </c>
      <c r="JB1" s="34">
        <f t="shared" ref="JB1" si="160">JA1+1</f>
        <v>43269</v>
      </c>
      <c r="JC1" s="34">
        <f t="shared" ref="JC1" si="161">JB1+1</f>
        <v>43270</v>
      </c>
      <c r="JD1" s="34">
        <f t="shared" ref="JD1" si="162">JC1+1</f>
        <v>43271</v>
      </c>
      <c r="JE1" s="34">
        <f t="shared" ref="JE1" si="163">JD1+1</f>
        <v>43272</v>
      </c>
      <c r="JF1" s="34">
        <f t="shared" ref="JF1" si="164">JE1+1</f>
        <v>43273</v>
      </c>
      <c r="JG1" s="34">
        <f t="shared" ref="JG1" si="165">JF1+1</f>
        <v>43274</v>
      </c>
      <c r="JH1" s="34">
        <f t="shared" ref="JH1" si="166">JG1+1</f>
        <v>43275</v>
      </c>
      <c r="JI1" s="34">
        <f t="shared" ref="JI1" si="167">JH1+1</f>
        <v>43276</v>
      </c>
      <c r="JJ1" s="34">
        <f t="shared" ref="JJ1" si="168">JI1+1</f>
        <v>43277</v>
      </c>
      <c r="JK1" s="34">
        <f t="shared" ref="JK1" si="169">JJ1+1</f>
        <v>43278</v>
      </c>
      <c r="JL1" s="34">
        <f t="shared" ref="JL1" si="170">JK1+1</f>
        <v>43279</v>
      </c>
      <c r="JM1" s="34">
        <f t="shared" ref="JM1" si="171">JL1+1</f>
        <v>43280</v>
      </c>
      <c r="JN1" s="34">
        <f t="shared" ref="JN1" si="172">JM1+1</f>
        <v>43281</v>
      </c>
      <c r="JO1" s="34">
        <f t="shared" ref="JO1" si="173">JN1+1</f>
        <v>43282</v>
      </c>
      <c r="JP1" s="34">
        <f t="shared" ref="JP1" si="174">JO1+1</f>
        <v>43283</v>
      </c>
      <c r="JQ1" s="34">
        <f t="shared" ref="JQ1" si="175">JP1+1</f>
        <v>43284</v>
      </c>
      <c r="JR1" s="34">
        <f t="shared" ref="JR1" si="176">JQ1+1</f>
        <v>43285</v>
      </c>
      <c r="JS1" s="34">
        <f t="shared" ref="JS1" si="177">JR1+1</f>
        <v>43286</v>
      </c>
      <c r="JT1" s="34">
        <f t="shared" ref="JT1" si="178">JS1+1</f>
        <v>43287</v>
      </c>
      <c r="JU1" s="34">
        <f t="shared" ref="JU1" si="179">JT1+1</f>
        <v>43288</v>
      </c>
      <c r="JV1" s="34">
        <f t="shared" ref="JV1" si="180">JU1+1</f>
        <v>43289</v>
      </c>
      <c r="JW1" s="34">
        <f t="shared" ref="JW1" si="181">JV1+1</f>
        <v>43290</v>
      </c>
      <c r="JX1" s="34">
        <f t="shared" ref="JX1" si="182">JW1+1</f>
        <v>43291</v>
      </c>
      <c r="JY1" s="34">
        <f t="shared" ref="JY1" si="183">JX1+1</f>
        <v>43292</v>
      </c>
      <c r="JZ1" s="34">
        <f t="shared" ref="JZ1" si="184">JY1+1</f>
        <v>43293</v>
      </c>
      <c r="KA1" s="34">
        <f t="shared" ref="KA1" si="185">JZ1+1</f>
        <v>43294</v>
      </c>
      <c r="KB1" s="34">
        <f t="shared" ref="KB1" si="186">KA1+1</f>
        <v>43295</v>
      </c>
      <c r="KC1" s="34">
        <f t="shared" ref="KC1" si="187">KB1+1</f>
        <v>43296</v>
      </c>
      <c r="KD1" s="34">
        <f t="shared" ref="KD1" si="188">KC1+1</f>
        <v>43297</v>
      </c>
      <c r="KE1" s="34">
        <f t="shared" ref="KE1" si="189">KD1+1</f>
        <v>43298</v>
      </c>
      <c r="KF1" s="34">
        <f t="shared" ref="KF1" si="190">KE1+1</f>
        <v>43299</v>
      </c>
      <c r="KG1" s="34">
        <f t="shared" ref="KG1" si="191">KF1+1</f>
        <v>43300</v>
      </c>
      <c r="KH1" s="34">
        <f t="shared" ref="KH1" si="192">KG1+1</f>
        <v>43301</v>
      </c>
      <c r="KI1" s="34">
        <f t="shared" ref="KI1:LP1" si="193">KH1+1</f>
        <v>43302</v>
      </c>
      <c r="KJ1" s="34">
        <f t="shared" si="193"/>
        <v>43303</v>
      </c>
      <c r="KK1" s="34">
        <f t="shared" si="193"/>
        <v>43304</v>
      </c>
      <c r="KL1" s="34">
        <f t="shared" si="193"/>
        <v>43305</v>
      </c>
      <c r="KM1" s="34">
        <f t="shared" si="193"/>
        <v>43306</v>
      </c>
      <c r="KN1" s="34">
        <f t="shared" si="193"/>
        <v>43307</v>
      </c>
      <c r="KO1" s="34">
        <f t="shared" si="193"/>
        <v>43308</v>
      </c>
      <c r="KP1" s="34">
        <f t="shared" si="193"/>
        <v>43309</v>
      </c>
      <c r="KQ1" s="34">
        <f t="shared" si="193"/>
        <v>43310</v>
      </c>
      <c r="KR1" s="34">
        <f t="shared" si="193"/>
        <v>43311</v>
      </c>
      <c r="KS1" s="34">
        <f t="shared" si="193"/>
        <v>43312</v>
      </c>
      <c r="KT1" s="34">
        <f t="shared" si="193"/>
        <v>43313</v>
      </c>
      <c r="KU1" s="34">
        <f t="shared" si="193"/>
        <v>43314</v>
      </c>
      <c r="KV1" s="34">
        <f t="shared" si="193"/>
        <v>43315</v>
      </c>
      <c r="KW1" s="34">
        <f t="shared" si="193"/>
        <v>43316</v>
      </c>
      <c r="KX1" s="34">
        <f t="shared" si="193"/>
        <v>43317</v>
      </c>
      <c r="KY1" s="34">
        <f t="shared" si="193"/>
        <v>43318</v>
      </c>
      <c r="KZ1" s="34">
        <f t="shared" si="193"/>
        <v>43319</v>
      </c>
      <c r="LA1" s="34">
        <f t="shared" si="193"/>
        <v>43320</v>
      </c>
      <c r="LB1" s="34">
        <f t="shared" si="193"/>
        <v>43321</v>
      </c>
      <c r="LC1" s="34">
        <f t="shared" si="193"/>
        <v>43322</v>
      </c>
      <c r="LD1" s="34">
        <f t="shared" si="193"/>
        <v>43323</v>
      </c>
      <c r="LE1" s="34">
        <f t="shared" si="193"/>
        <v>43324</v>
      </c>
      <c r="LF1" s="34">
        <f t="shared" si="193"/>
        <v>43325</v>
      </c>
      <c r="LG1" s="34">
        <f t="shared" si="193"/>
        <v>43326</v>
      </c>
      <c r="LH1" s="34">
        <f t="shared" si="193"/>
        <v>43327</v>
      </c>
      <c r="LI1" s="34">
        <f t="shared" si="193"/>
        <v>43328</v>
      </c>
      <c r="LJ1" s="34">
        <f t="shared" si="193"/>
        <v>43329</v>
      </c>
      <c r="LK1" s="34">
        <f t="shared" si="193"/>
        <v>43330</v>
      </c>
      <c r="LL1" s="34">
        <f t="shared" si="193"/>
        <v>43331</v>
      </c>
      <c r="LM1" s="34">
        <f t="shared" si="193"/>
        <v>43332</v>
      </c>
      <c r="LN1" s="34">
        <f t="shared" si="193"/>
        <v>43333</v>
      </c>
      <c r="LO1" s="34">
        <f t="shared" si="193"/>
        <v>43334</v>
      </c>
      <c r="LP1" s="34">
        <f t="shared" si="193"/>
        <v>43335</v>
      </c>
      <c r="LQ1" s="34">
        <f t="shared" ref="LQ1:NI1" si="194">LP1+1</f>
        <v>43336</v>
      </c>
      <c r="LR1" s="34">
        <f t="shared" si="194"/>
        <v>43337</v>
      </c>
      <c r="LS1" s="34">
        <f t="shared" si="194"/>
        <v>43338</v>
      </c>
      <c r="LT1" s="34">
        <f t="shared" si="194"/>
        <v>43339</v>
      </c>
      <c r="LU1" s="34">
        <f t="shared" si="194"/>
        <v>43340</v>
      </c>
      <c r="LV1" s="34">
        <f t="shared" si="194"/>
        <v>43341</v>
      </c>
      <c r="LW1" s="34">
        <f t="shared" si="194"/>
        <v>43342</v>
      </c>
      <c r="LX1" s="34">
        <f t="shared" si="194"/>
        <v>43343</v>
      </c>
      <c r="LY1" s="34">
        <f t="shared" si="194"/>
        <v>43344</v>
      </c>
      <c r="LZ1" s="34">
        <f t="shared" si="194"/>
        <v>43345</v>
      </c>
      <c r="MA1" s="34">
        <f t="shared" si="194"/>
        <v>43346</v>
      </c>
      <c r="MB1" s="34">
        <f t="shared" si="194"/>
        <v>43347</v>
      </c>
      <c r="MC1" s="34">
        <f t="shared" si="194"/>
        <v>43348</v>
      </c>
      <c r="MD1" s="34">
        <f t="shared" si="194"/>
        <v>43349</v>
      </c>
      <c r="ME1" s="34">
        <f t="shared" si="194"/>
        <v>43350</v>
      </c>
      <c r="MF1" s="34">
        <f t="shared" si="194"/>
        <v>43351</v>
      </c>
      <c r="MG1" s="34">
        <f t="shared" si="194"/>
        <v>43352</v>
      </c>
      <c r="MH1" s="34">
        <f t="shared" si="194"/>
        <v>43353</v>
      </c>
      <c r="MI1" s="34">
        <f t="shared" si="194"/>
        <v>43354</v>
      </c>
      <c r="MJ1" s="34">
        <f t="shared" si="194"/>
        <v>43355</v>
      </c>
      <c r="MK1" s="34">
        <f t="shared" si="194"/>
        <v>43356</v>
      </c>
      <c r="ML1" s="34">
        <f t="shared" si="194"/>
        <v>43357</v>
      </c>
      <c r="MM1" s="34">
        <f t="shared" si="194"/>
        <v>43358</v>
      </c>
      <c r="MN1" s="34">
        <f t="shared" si="194"/>
        <v>43359</v>
      </c>
      <c r="MO1" s="34">
        <f t="shared" si="194"/>
        <v>43360</v>
      </c>
      <c r="MP1" s="34">
        <f t="shared" si="194"/>
        <v>43361</v>
      </c>
      <c r="MQ1" s="34">
        <f t="shared" si="194"/>
        <v>43362</v>
      </c>
      <c r="MR1" s="34">
        <f t="shared" si="194"/>
        <v>43363</v>
      </c>
      <c r="MS1" s="34">
        <f t="shared" si="194"/>
        <v>43364</v>
      </c>
      <c r="MT1" s="34">
        <f t="shared" si="194"/>
        <v>43365</v>
      </c>
      <c r="MU1" s="34">
        <f t="shared" si="194"/>
        <v>43366</v>
      </c>
      <c r="MV1" s="34">
        <f t="shared" si="194"/>
        <v>43367</v>
      </c>
      <c r="MW1" s="34">
        <f t="shared" si="194"/>
        <v>43368</v>
      </c>
      <c r="MX1" s="34">
        <f t="shared" si="194"/>
        <v>43369</v>
      </c>
      <c r="MY1" s="34">
        <f t="shared" si="194"/>
        <v>43370</v>
      </c>
      <c r="MZ1" s="34">
        <f t="shared" si="194"/>
        <v>43371</v>
      </c>
      <c r="NA1" s="34">
        <f t="shared" si="194"/>
        <v>43372</v>
      </c>
      <c r="NB1" s="34">
        <f t="shared" si="194"/>
        <v>43373</v>
      </c>
      <c r="NC1" s="34">
        <f t="shared" si="194"/>
        <v>43374</v>
      </c>
      <c r="ND1" s="34">
        <f t="shared" si="194"/>
        <v>43375</v>
      </c>
      <c r="NE1" s="34">
        <f t="shared" si="194"/>
        <v>43376</v>
      </c>
      <c r="NF1" s="34">
        <f t="shared" si="194"/>
        <v>43377</v>
      </c>
      <c r="NG1" s="34">
        <f t="shared" si="194"/>
        <v>43378</v>
      </c>
      <c r="NH1" s="34">
        <f t="shared" si="194"/>
        <v>43379</v>
      </c>
      <c r="NI1" s="34">
        <f t="shared" si="194"/>
        <v>43380</v>
      </c>
      <c r="NJ1" s="1"/>
    </row>
    <row r="2" spans="1:374" s="17" customFormat="1" ht="15" customHeight="1">
      <c r="A2" s="42" t="s">
        <v>8</v>
      </c>
      <c r="B2" s="43" t="s">
        <v>52</v>
      </c>
      <c r="C2" s="29"/>
      <c r="D2" s="29"/>
      <c r="E2" s="29"/>
      <c r="F2" s="29"/>
      <c r="G2" s="29"/>
      <c r="H2" s="29"/>
      <c r="I2" s="29"/>
      <c r="J2" s="59" t="str">
        <f>IF(ShowFY,IF(MONTH(J1)&lt;4,YEAR(J1)-1&amp;"/"&amp;RIGHT(YEAR(J1),2),YEAR(J1)&amp;"/"&amp;RIGHT(YEAR(J1)+1,2)),YEAR(J1))</f>
        <v>2017/18</v>
      </c>
      <c r="K2" s="59"/>
      <c r="L2" s="59"/>
      <c r="M2" s="59"/>
      <c r="N2" s="59"/>
      <c r="O2" s="59"/>
      <c r="P2" s="59"/>
      <c r="Q2" s="59" t="str">
        <f>IF(ShowFY,IF(MONTH(Q1)&lt;4,YEAR(Q1)-1&amp;"/"&amp;RIGHT(YEAR(Q1),2),YEAR(Q1)&amp;"/"&amp;RIGHT(YEAR(Q1)+1,2)),YEAR(Q1))</f>
        <v>2017/18</v>
      </c>
      <c r="R2" s="59"/>
      <c r="S2" s="59"/>
      <c r="T2" s="59"/>
      <c r="U2" s="59"/>
      <c r="V2" s="59"/>
      <c r="W2" s="59"/>
      <c r="X2" s="59" t="str">
        <f>IF(ShowFY,IF(MONTH(X1)&lt;4,YEAR(X1)-1&amp;"/"&amp;RIGHT(YEAR(X1),2),YEAR(X1)&amp;"/"&amp;RIGHT(YEAR(X1)+1,2)),YEAR(X1))</f>
        <v>2017/18</v>
      </c>
      <c r="Y2" s="59"/>
      <c r="Z2" s="59"/>
      <c r="AA2" s="59"/>
      <c r="AB2" s="59"/>
      <c r="AC2" s="59"/>
      <c r="AD2" s="59"/>
      <c r="AE2" s="59" t="str">
        <f>IF(ShowFY,IF(MONTH(AE1)&lt;4,YEAR(AE1)-1&amp;"/"&amp;RIGHT(YEAR(AE1),2),YEAR(AE1)&amp;"/"&amp;RIGHT(YEAR(AE1)+1,2)),YEAR(AE1))</f>
        <v>2017/18</v>
      </c>
      <c r="AF2" s="59"/>
      <c r="AG2" s="59"/>
      <c r="AH2" s="59"/>
      <c r="AI2" s="59"/>
      <c r="AJ2" s="59"/>
      <c r="AK2" s="59"/>
      <c r="AL2" s="59" t="str">
        <f>IF(ShowFY,IF(MONTH(AL1)&lt;4,YEAR(AL1)-1&amp;"/"&amp;RIGHT(YEAR(AL1),2),YEAR(AL1)&amp;"/"&amp;RIGHT(YEAR(AL1)+1,2)),YEAR(AL1))</f>
        <v>2017/18</v>
      </c>
      <c r="AM2" s="59"/>
      <c r="AN2" s="59"/>
      <c r="AO2" s="59"/>
      <c r="AP2" s="59"/>
      <c r="AQ2" s="59"/>
      <c r="AR2" s="59"/>
      <c r="AS2" s="59" t="str">
        <f>IF(ShowFY,IF(MONTH(AS1)&lt;4,YEAR(AS1)-1&amp;"/"&amp;RIGHT(YEAR(AS1),2),YEAR(AS1)&amp;"/"&amp;RIGHT(YEAR(AS1)+1,2)),YEAR(AS1))</f>
        <v>2017/18</v>
      </c>
      <c r="AT2" s="59"/>
      <c r="AU2" s="59"/>
      <c r="AV2" s="59"/>
      <c r="AW2" s="59"/>
      <c r="AX2" s="59"/>
      <c r="AY2" s="59"/>
      <c r="AZ2" s="59" t="str">
        <f>IF(ShowFY,IF(MONTH(AZ1)&lt;4,YEAR(AZ1)-1&amp;"/"&amp;RIGHT(YEAR(AZ1),2),YEAR(AZ1)&amp;"/"&amp;RIGHT(YEAR(AZ1)+1,2)),YEAR(AZ1))</f>
        <v>2017/18</v>
      </c>
      <c r="BA2" s="59"/>
      <c r="BB2" s="59"/>
      <c r="BC2" s="59"/>
      <c r="BD2" s="59"/>
      <c r="BE2" s="59"/>
      <c r="BF2" s="59"/>
      <c r="BG2" s="59" t="str">
        <f>IF(ShowFY,IF(MONTH(BG1)&lt;4,YEAR(BG1)-1&amp;"/"&amp;RIGHT(YEAR(BG1),2),YEAR(BG1)&amp;"/"&amp;RIGHT(YEAR(BG1)+1,2)),YEAR(BG1))</f>
        <v>2017/18</v>
      </c>
      <c r="BH2" s="59"/>
      <c r="BI2" s="59"/>
      <c r="BJ2" s="59"/>
      <c r="BK2" s="59"/>
      <c r="BL2" s="59"/>
      <c r="BM2" s="59"/>
      <c r="BN2" s="59" t="str">
        <f>IF(ShowFY,IF(MONTH(BN1)&lt;4,YEAR(BN1)-1&amp;"/"&amp;RIGHT(YEAR(BN1),2),YEAR(BN1)&amp;"/"&amp;RIGHT(YEAR(BN1)+1,2)),YEAR(BN1))</f>
        <v>2017/18</v>
      </c>
      <c r="BO2" s="59"/>
      <c r="BP2" s="59"/>
      <c r="BQ2" s="59"/>
      <c r="BR2" s="59"/>
      <c r="BS2" s="59"/>
      <c r="BT2" s="59"/>
      <c r="BU2" s="59" t="str">
        <f>IF(ShowFY,IF(MONTH(BU1)&lt;4,YEAR(BU1)-1&amp;"/"&amp;RIGHT(YEAR(BU1),2),YEAR(BU1)&amp;"/"&amp;RIGHT(YEAR(BU1)+1,2)),YEAR(BU1))</f>
        <v>2017/18</v>
      </c>
      <c r="BV2" s="59"/>
      <c r="BW2" s="59"/>
      <c r="BX2" s="59"/>
      <c r="BY2" s="59"/>
      <c r="BZ2" s="59"/>
      <c r="CA2" s="59"/>
      <c r="CB2" s="59" t="str">
        <f>IF(ShowFY,IF(MONTH(CB1)&lt;4,YEAR(CB1)-1&amp;"/"&amp;RIGHT(YEAR(CB1),2),YEAR(CB1)&amp;"/"&amp;RIGHT(YEAR(CB1)+1,2)),YEAR(CB1))</f>
        <v>2017/18</v>
      </c>
      <c r="CC2" s="59"/>
      <c r="CD2" s="59"/>
      <c r="CE2" s="59"/>
      <c r="CF2" s="59"/>
      <c r="CG2" s="59"/>
      <c r="CH2" s="59"/>
      <c r="CI2" s="59" t="str">
        <f>IF(ShowFY,IF(MONTH(CI1)&lt;4,YEAR(CI1)-1&amp;"/"&amp;RIGHT(YEAR(CI1),2),YEAR(CI1)&amp;"/"&amp;RIGHT(YEAR(CI1)+1,2)),YEAR(CI1))</f>
        <v>2017/18</v>
      </c>
      <c r="CJ2" s="59"/>
      <c r="CK2" s="59"/>
      <c r="CL2" s="59"/>
      <c r="CM2" s="59"/>
      <c r="CN2" s="59"/>
      <c r="CO2" s="59"/>
      <c r="CP2" s="59" t="str">
        <f>IF(ShowFY,IF(MONTH(CP1)&lt;4,YEAR(CP1)-1&amp;"/"&amp;RIGHT(YEAR(CP1),2),YEAR(CP1)&amp;"/"&amp;RIGHT(YEAR(CP1)+1,2)),YEAR(CP1))</f>
        <v>2017/18</v>
      </c>
      <c r="CQ2" s="59"/>
      <c r="CR2" s="59"/>
      <c r="CS2" s="59"/>
      <c r="CT2" s="59"/>
      <c r="CU2" s="59"/>
      <c r="CV2" s="59"/>
      <c r="CW2" s="59" t="str">
        <f>IF(ShowFY,IF(MONTH(CW1)&lt;4,YEAR(CW1)-1&amp;"/"&amp;RIGHT(YEAR(CW1),2),YEAR(CW1)&amp;"/"&amp;RIGHT(YEAR(CW1)+1,2)),YEAR(CW1))</f>
        <v>2017/18</v>
      </c>
      <c r="CX2" s="59"/>
      <c r="CY2" s="59"/>
      <c r="CZ2" s="59"/>
      <c r="DA2" s="59"/>
      <c r="DB2" s="59"/>
      <c r="DC2" s="59"/>
      <c r="DD2" s="59" t="str">
        <f>IF(ShowFY,IF(MONTH(DD1)&lt;4,YEAR(DD1)-1&amp;"/"&amp;RIGHT(YEAR(DD1),2),YEAR(DD1)&amp;"/"&amp;RIGHT(YEAR(DD1)+1,2)),YEAR(DD1))</f>
        <v>2017/18</v>
      </c>
      <c r="DE2" s="59"/>
      <c r="DF2" s="59"/>
      <c r="DG2" s="59"/>
      <c r="DH2" s="59"/>
      <c r="DI2" s="59"/>
      <c r="DJ2" s="59"/>
      <c r="DK2" s="59" t="str">
        <f>IF(ShowFY,IF(MONTH(DK1)&lt;4,YEAR(DK1)-1&amp;"/"&amp;RIGHT(YEAR(DK1),2),YEAR(DK1)&amp;"/"&amp;RIGHT(YEAR(DK1)+1,2)),YEAR(DK1))</f>
        <v>2017/18</v>
      </c>
      <c r="DL2" s="59"/>
      <c r="DM2" s="59"/>
      <c r="DN2" s="59"/>
      <c r="DO2" s="59"/>
      <c r="DP2" s="59"/>
      <c r="DQ2" s="59"/>
      <c r="DR2" s="59" t="str">
        <f>IF(ShowFY,IF(MONTH(DR1)&lt;4,YEAR(DR1)-1&amp;"/"&amp;RIGHT(YEAR(DR1),2),YEAR(DR1)&amp;"/"&amp;RIGHT(YEAR(DR1)+1,2)),YEAR(DR1))</f>
        <v>2017/18</v>
      </c>
      <c r="DS2" s="59"/>
      <c r="DT2" s="59"/>
      <c r="DU2" s="59"/>
      <c r="DV2" s="59"/>
      <c r="DW2" s="59"/>
      <c r="DX2" s="59"/>
      <c r="DY2" s="59" t="str">
        <f>IF(ShowFY,IF(MONTH(DY1)&lt;4,YEAR(DY1)-1&amp;"/"&amp;RIGHT(YEAR(DY1),2),YEAR(DY1)&amp;"/"&amp;RIGHT(YEAR(DY1)+1,2)),YEAR(DY1))</f>
        <v>2017/18</v>
      </c>
      <c r="DZ2" s="59"/>
      <c r="EA2" s="59"/>
      <c r="EB2" s="59"/>
      <c r="EC2" s="59"/>
      <c r="ED2" s="59"/>
      <c r="EE2" s="59"/>
      <c r="EF2" s="59" t="str">
        <f>IF(ShowFY,IF(MONTH(EF1)&lt;4,YEAR(EF1)-1&amp;"/"&amp;RIGHT(YEAR(EF1),2),YEAR(EF1)&amp;"/"&amp;RIGHT(YEAR(EF1)+1,2)),YEAR(EF1))</f>
        <v>2017/18</v>
      </c>
      <c r="EG2" s="59"/>
      <c r="EH2" s="59"/>
      <c r="EI2" s="59"/>
      <c r="EJ2" s="59"/>
      <c r="EK2" s="59"/>
      <c r="EL2" s="59"/>
      <c r="EM2" s="59" t="str">
        <f>IF(ShowFY,IF(MONTH(EM1)&lt;4,YEAR(EM1)-1&amp;"/"&amp;RIGHT(YEAR(EM1),2),YEAR(EM1)&amp;"/"&amp;RIGHT(YEAR(EM1)+1,2)),YEAR(EM1))</f>
        <v>2017/18</v>
      </c>
      <c r="EN2" s="59"/>
      <c r="EO2" s="59"/>
      <c r="EP2" s="59"/>
      <c r="EQ2" s="59"/>
      <c r="ER2" s="59"/>
      <c r="ES2" s="59"/>
      <c r="ET2" s="59" t="str">
        <f>IF(ShowFY,IF(MONTH(ET1)&lt;4,YEAR(ET1)-1&amp;"/"&amp;RIGHT(YEAR(ET1),2),YEAR(ET1)&amp;"/"&amp;RIGHT(YEAR(ET1)+1,2)),YEAR(ET1))</f>
        <v>2017/18</v>
      </c>
      <c r="EU2" s="59"/>
      <c r="EV2" s="59"/>
      <c r="EW2" s="59"/>
      <c r="EX2" s="59"/>
      <c r="EY2" s="59"/>
      <c r="EZ2" s="59"/>
      <c r="FA2" s="59" t="str">
        <f>IF(ShowFY,IF(MONTH(FA1)&lt;4,YEAR(FA1)-1&amp;"/"&amp;RIGHT(YEAR(FA1),2),YEAR(FA1)&amp;"/"&amp;RIGHT(YEAR(FA1)+1,2)),YEAR(FA1))</f>
        <v>2017/18</v>
      </c>
      <c r="FB2" s="59"/>
      <c r="FC2" s="59"/>
      <c r="FD2" s="59"/>
      <c r="FE2" s="59"/>
      <c r="FF2" s="59"/>
      <c r="FG2" s="59"/>
      <c r="FH2" s="59" t="str">
        <f>IF(ShowFY,IF(MONTH(FH1)&lt;4,YEAR(FH1)-1&amp;"/"&amp;RIGHT(YEAR(FH1),2),YEAR(FH1)&amp;"/"&amp;RIGHT(YEAR(FH1)+1,2)),YEAR(FH1))</f>
        <v>2017/18</v>
      </c>
      <c r="FI2" s="59"/>
      <c r="FJ2" s="59"/>
      <c r="FK2" s="59"/>
      <c r="FL2" s="59"/>
      <c r="FM2" s="59"/>
      <c r="FN2" s="59"/>
      <c r="FO2" s="59" t="str">
        <f>IF(ShowFY,IF(MONTH(FO1)&lt;4,YEAR(FO1)-1&amp;"/"&amp;RIGHT(YEAR(FO1),2),YEAR(FO1)&amp;"/"&amp;RIGHT(YEAR(FO1)+1,2)),YEAR(FO1))</f>
        <v>2017/18</v>
      </c>
      <c r="FP2" s="59"/>
      <c r="FQ2" s="59"/>
      <c r="FR2" s="59"/>
      <c r="FS2" s="59"/>
      <c r="FT2" s="59"/>
      <c r="FU2" s="59"/>
      <c r="FV2" s="59" t="str">
        <f>IF(ShowFY,IF(MONTH(FV1)&lt;4,YEAR(FV1)-1&amp;"/"&amp;RIGHT(YEAR(FV1),2),YEAR(FV1)&amp;"/"&amp;RIGHT(YEAR(FV1)+1,2)),YEAR(FV1))</f>
        <v>2017/18</v>
      </c>
      <c r="FW2" s="59"/>
      <c r="FX2" s="59"/>
      <c r="FY2" s="59"/>
      <c r="FZ2" s="59"/>
      <c r="GA2" s="59"/>
      <c r="GB2" s="59"/>
      <c r="GC2" s="59" t="str">
        <f>IF(ShowFY,IF(MONTH(GC1)&lt;4,YEAR(GC1)-1&amp;"/"&amp;RIGHT(YEAR(GC1),2),YEAR(GC1)&amp;"/"&amp;RIGHT(YEAR(GC1)+1,2)),YEAR(GC1))</f>
        <v>2018/19</v>
      </c>
      <c r="GD2" s="59"/>
      <c r="GE2" s="59"/>
      <c r="GF2" s="59"/>
      <c r="GG2" s="59"/>
      <c r="GH2" s="59"/>
      <c r="GI2" s="59"/>
      <c r="GJ2" s="59" t="str">
        <f>IF(ShowFY,IF(MONTH(GJ1)&lt;4,YEAR(GJ1)-1&amp;"/"&amp;RIGHT(YEAR(GJ1),2),YEAR(GJ1)&amp;"/"&amp;RIGHT(YEAR(GJ1)+1,2)),YEAR(GJ1))</f>
        <v>2018/19</v>
      </c>
      <c r="GK2" s="59"/>
      <c r="GL2" s="59"/>
      <c r="GM2" s="59"/>
      <c r="GN2" s="59"/>
      <c r="GO2" s="59"/>
      <c r="GP2" s="59"/>
      <c r="GQ2" s="59" t="str">
        <f>IF(ShowFY,IF(MONTH(GQ1)&lt;4,YEAR(GQ1)-1&amp;"/"&amp;RIGHT(YEAR(GQ1),2),YEAR(GQ1)&amp;"/"&amp;RIGHT(YEAR(GQ1)+1,2)),YEAR(GQ1))</f>
        <v>2018/19</v>
      </c>
      <c r="GR2" s="59"/>
      <c r="GS2" s="59"/>
      <c r="GT2" s="59"/>
      <c r="GU2" s="59"/>
      <c r="GV2" s="59"/>
      <c r="GW2" s="59"/>
      <c r="GX2" s="59" t="str">
        <f>IF(ShowFY,IF(MONTH(GX1)&lt;4,YEAR(GX1)-1&amp;"/"&amp;RIGHT(YEAR(GX1),2),YEAR(GX1)&amp;"/"&amp;RIGHT(YEAR(GX1)+1,2)),YEAR(GX1))</f>
        <v>2018/19</v>
      </c>
      <c r="GY2" s="59"/>
      <c r="GZ2" s="59"/>
      <c r="HA2" s="59"/>
      <c r="HB2" s="59"/>
      <c r="HC2" s="59"/>
      <c r="HD2" s="59"/>
      <c r="HE2" s="59" t="str">
        <f>IF(ShowFY,IF(MONTH(HE1)&lt;4,YEAR(HE1)-1&amp;"/"&amp;RIGHT(YEAR(HE1),2),YEAR(HE1)&amp;"/"&amp;RIGHT(YEAR(HE1)+1,2)),YEAR(HE1))</f>
        <v>2018/19</v>
      </c>
      <c r="HF2" s="59"/>
      <c r="HG2" s="59"/>
      <c r="HH2" s="59"/>
      <c r="HI2" s="59"/>
      <c r="HJ2" s="59"/>
      <c r="HK2" s="59"/>
      <c r="HL2" s="59" t="str">
        <f>IF(ShowFY,IF(MONTH(HL1)&lt;4,YEAR(HL1)-1&amp;"/"&amp;RIGHT(YEAR(HL1),2),YEAR(HL1)&amp;"/"&amp;RIGHT(YEAR(HL1)+1,2)),YEAR(HL1))</f>
        <v>2018/19</v>
      </c>
      <c r="HM2" s="59"/>
      <c r="HN2" s="59"/>
      <c r="HO2" s="59"/>
      <c r="HP2" s="59"/>
      <c r="HQ2" s="59"/>
      <c r="HR2" s="59"/>
      <c r="HS2" s="59" t="str">
        <f>IF(ShowFY,IF(MONTH(HS1)&lt;4,YEAR(HS1)-1&amp;"/"&amp;RIGHT(YEAR(HS1),2),YEAR(HS1)&amp;"/"&amp;RIGHT(YEAR(HS1)+1,2)),YEAR(HS1))</f>
        <v>2018/19</v>
      </c>
      <c r="HT2" s="59"/>
      <c r="HU2" s="59"/>
      <c r="HV2" s="59"/>
      <c r="HW2" s="59"/>
      <c r="HX2" s="59"/>
      <c r="HY2" s="59"/>
      <c r="HZ2" s="59" t="str">
        <f>IF(ShowFY,IF(MONTH(HZ1)&lt;4,YEAR(HZ1)-1&amp;"/"&amp;RIGHT(YEAR(HZ1),2),YEAR(HZ1)&amp;"/"&amp;RIGHT(YEAR(HZ1)+1,2)),YEAR(HZ1))</f>
        <v>2018/19</v>
      </c>
      <c r="IA2" s="59"/>
      <c r="IB2" s="59"/>
      <c r="IC2" s="59"/>
      <c r="ID2" s="59"/>
      <c r="IE2" s="59"/>
      <c r="IF2" s="59"/>
      <c r="IG2" s="59" t="str">
        <f>IF(ShowFY,IF(MONTH(IG1)&lt;4,YEAR(IG1)-1&amp;"/"&amp;RIGHT(YEAR(IG1),2),YEAR(IG1)&amp;"/"&amp;RIGHT(YEAR(IG1)+1,2)),YEAR(IG1))</f>
        <v>2018/19</v>
      </c>
      <c r="IH2" s="59"/>
      <c r="II2" s="59"/>
      <c r="IJ2" s="59"/>
      <c r="IK2" s="59"/>
      <c r="IL2" s="59"/>
      <c r="IM2" s="59"/>
      <c r="IN2" s="59" t="str">
        <f>IF(ShowFY,IF(MONTH(IN1)&lt;4,YEAR(IN1)-1&amp;"/"&amp;RIGHT(YEAR(IN1),2),YEAR(IN1)&amp;"/"&amp;RIGHT(YEAR(IN1)+1,2)),YEAR(IN1))</f>
        <v>2018/19</v>
      </c>
      <c r="IO2" s="59"/>
      <c r="IP2" s="59"/>
      <c r="IQ2" s="59"/>
      <c r="IR2" s="59"/>
      <c r="IS2" s="59"/>
      <c r="IT2" s="59"/>
      <c r="IU2" s="59" t="str">
        <f>IF(ShowFY,IF(MONTH(IU1)&lt;4,YEAR(IU1)-1&amp;"/"&amp;RIGHT(YEAR(IU1),2),YEAR(IU1)&amp;"/"&amp;RIGHT(YEAR(IU1)+1,2)),YEAR(IU1))</f>
        <v>2018/19</v>
      </c>
      <c r="IV2" s="59"/>
      <c r="IW2" s="59"/>
      <c r="IX2" s="59"/>
      <c r="IY2" s="59"/>
      <c r="IZ2" s="59"/>
      <c r="JA2" s="59"/>
      <c r="JB2" s="59" t="str">
        <f>IF(ShowFY,IF(MONTH(JB1)&lt;4,YEAR(JB1)-1&amp;"/"&amp;RIGHT(YEAR(JB1),2),YEAR(JB1)&amp;"/"&amp;RIGHT(YEAR(JB1)+1,2)),YEAR(JB1))</f>
        <v>2018/19</v>
      </c>
      <c r="JC2" s="59"/>
      <c r="JD2" s="59"/>
      <c r="JE2" s="59"/>
      <c r="JF2" s="59"/>
      <c r="JG2" s="59"/>
      <c r="JH2" s="59"/>
      <c r="JI2" s="59" t="str">
        <f>IF(ShowFY,IF(MONTH(JI1)&lt;4,YEAR(JI1)-1&amp;"/"&amp;RIGHT(YEAR(JI1),2),YEAR(JI1)&amp;"/"&amp;RIGHT(YEAR(JI1)+1,2)),YEAR(JI1))</f>
        <v>2018/19</v>
      </c>
      <c r="JJ2" s="59"/>
      <c r="JK2" s="59"/>
      <c r="JL2" s="59"/>
      <c r="JM2" s="59"/>
      <c r="JN2" s="59"/>
      <c r="JO2" s="59"/>
      <c r="JP2" s="59" t="str">
        <f>IF(ShowFY,IF(MONTH(JP1)&lt;4,YEAR(JP1)-1&amp;"/"&amp;RIGHT(YEAR(JP1),2),YEAR(JP1)&amp;"/"&amp;RIGHT(YEAR(JP1)+1,2)),YEAR(JP1))</f>
        <v>2018/19</v>
      </c>
      <c r="JQ2" s="59"/>
      <c r="JR2" s="59"/>
      <c r="JS2" s="59"/>
      <c r="JT2" s="59"/>
      <c r="JU2" s="59"/>
      <c r="JV2" s="59"/>
      <c r="JW2" s="59" t="str">
        <f>IF(ShowFY,IF(MONTH(JW1)&lt;4,YEAR(JW1)-1&amp;"/"&amp;RIGHT(YEAR(JW1),2),YEAR(JW1)&amp;"/"&amp;RIGHT(YEAR(JW1)+1,2)),YEAR(JW1))</f>
        <v>2018/19</v>
      </c>
      <c r="JX2" s="59"/>
      <c r="JY2" s="59"/>
      <c r="JZ2" s="59"/>
      <c r="KA2" s="59"/>
      <c r="KB2" s="59"/>
      <c r="KC2" s="59"/>
      <c r="KD2" s="59" t="str">
        <f>IF(ShowFY,IF(MONTH(KD1)&lt;4,YEAR(KD1)-1&amp;"/"&amp;RIGHT(YEAR(KD1),2),YEAR(KD1)&amp;"/"&amp;RIGHT(YEAR(KD1)+1,2)),YEAR(KD1))</f>
        <v>2018/19</v>
      </c>
      <c r="KE2" s="59"/>
      <c r="KF2" s="59"/>
      <c r="KG2" s="59"/>
      <c r="KH2" s="59"/>
      <c r="KI2" s="59"/>
      <c r="KJ2" s="59"/>
      <c r="KK2" s="59" t="str">
        <f>IF(ShowFY,IF(MONTH(KK1)&lt;4,YEAR(KK1)-1&amp;"/"&amp;RIGHT(YEAR(KK1),2),YEAR(KK1)&amp;"/"&amp;RIGHT(YEAR(KK1)+1,2)),YEAR(KK1))</f>
        <v>2018/19</v>
      </c>
      <c r="KL2" s="59"/>
      <c r="KM2" s="59"/>
      <c r="KN2" s="59"/>
      <c r="KO2" s="59"/>
      <c r="KP2" s="59"/>
      <c r="KQ2" s="59"/>
      <c r="KR2" s="59" t="str">
        <f>IF(ShowFY,IF(MONTH(KR1)&lt;4,YEAR(KR1)-1&amp;"/"&amp;RIGHT(YEAR(KR1),2),YEAR(KR1)&amp;"/"&amp;RIGHT(YEAR(KR1)+1,2)),YEAR(KR1))</f>
        <v>2018/19</v>
      </c>
      <c r="KS2" s="59"/>
      <c r="KT2" s="59"/>
      <c r="KU2" s="59"/>
      <c r="KV2" s="59"/>
      <c r="KW2" s="59"/>
      <c r="KX2" s="59"/>
      <c r="KY2" s="59" t="str">
        <f>IF(ShowFY,IF(MONTH(KY1)&lt;4,YEAR(KY1)-1&amp;"/"&amp;RIGHT(YEAR(KY1),2),YEAR(KY1)&amp;"/"&amp;RIGHT(YEAR(KY1)+1,2)),YEAR(KY1))</f>
        <v>2018/19</v>
      </c>
      <c r="KZ2" s="59"/>
      <c r="LA2" s="59"/>
      <c r="LB2" s="59"/>
      <c r="LC2" s="59"/>
      <c r="LD2" s="59"/>
      <c r="LE2" s="59"/>
      <c r="LF2" s="59" t="str">
        <f>IF(ShowFY,IF(MONTH(LF1)&lt;4,YEAR(LF1)-1&amp;"/"&amp;RIGHT(YEAR(LF1),2),YEAR(LF1)&amp;"/"&amp;RIGHT(YEAR(LF1)+1,2)),YEAR(LF1))</f>
        <v>2018/19</v>
      </c>
      <c r="LG2" s="59"/>
      <c r="LH2" s="59"/>
      <c r="LI2" s="59"/>
      <c r="LJ2" s="59"/>
      <c r="LK2" s="59"/>
      <c r="LL2" s="59"/>
      <c r="LM2" s="59" t="str">
        <f>IF(ShowFY,IF(MONTH(LM1)&lt;4,YEAR(LM1)-1&amp;"/"&amp;RIGHT(YEAR(LM1),2),YEAR(LM1)&amp;"/"&amp;RIGHT(YEAR(LM1)+1,2)),YEAR(LM1))</f>
        <v>2018/19</v>
      </c>
      <c r="LN2" s="59"/>
      <c r="LO2" s="59"/>
      <c r="LP2" s="59"/>
      <c r="LQ2" s="59"/>
      <c r="LR2" s="59"/>
      <c r="LS2" s="59"/>
      <c r="LT2" s="59" t="str">
        <f>IF(ShowFY,IF(MONTH(LT1)&lt;4,YEAR(LT1)-1&amp;"/"&amp;RIGHT(YEAR(LT1),2),YEAR(LT1)&amp;"/"&amp;RIGHT(YEAR(LT1)+1,2)),YEAR(LT1))</f>
        <v>2018/19</v>
      </c>
      <c r="LU2" s="59"/>
      <c r="LV2" s="59"/>
      <c r="LW2" s="59"/>
      <c r="LX2" s="59"/>
      <c r="LY2" s="59"/>
      <c r="LZ2" s="59"/>
      <c r="MA2" s="59" t="str">
        <f>IF(ShowFY,IF(MONTH(MA1)&lt;4,YEAR(MA1)-1&amp;"/"&amp;RIGHT(YEAR(MA1),2),YEAR(MA1)&amp;"/"&amp;RIGHT(YEAR(MA1)+1,2)),YEAR(MA1))</f>
        <v>2018/19</v>
      </c>
      <c r="MB2" s="59"/>
      <c r="MC2" s="59"/>
      <c r="MD2" s="59"/>
      <c r="ME2" s="59"/>
      <c r="MF2" s="59"/>
      <c r="MG2" s="59"/>
      <c r="MH2" s="59" t="str">
        <f>IF(ShowFY,IF(MONTH(MH1)&lt;4,YEAR(MH1)-1&amp;"/"&amp;RIGHT(YEAR(MH1),2),YEAR(MH1)&amp;"/"&amp;RIGHT(YEAR(MH1)+1,2)),YEAR(MH1))</f>
        <v>2018/19</v>
      </c>
      <c r="MI2" s="59"/>
      <c r="MJ2" s="59"/>
      <c r="MK2" s="59"/>
      <c r="ML2" s="59"/>
      <c r="MM2" s="59"/>
      <c r="MN2" s="59"/>
      <c r="MO2" s="59" t="str">
        <f>IF(ShowFY,IF(MONTH(MO1)&lt;4,YEAR(MO1)-1&amp;"/"&amp;RIGHT(YEAR(MO1),2),YEAR(MO1)&amp;"/"&amp;RIGHT(YEAR(MO1)+1,2)),YEAR(MO1))</f>
        <v>2018/19</v>
      </c>
      <c r="MP2" s="59"/>
      <c r="MQ2" s="59"/>
      <c r="MR2" s="59"/>
      <c r="MS2" s="59"/>
      <c r="MT2" s="59"/>
      <c r="MU2" s="59"/>
      <c r="MV2" s="59" t="str">
        <f>IF(ShowFY,IF(MONTH(MV1)&lt;4,YEAR(MV1)-1&amp;"/"&amp;RIGHT(YEAR(MV1),2),YEAR(MV1)&amp;"/"&amp;RIGHT(YEAR(MV1)+1,2)),YEAR(MV1))</f>
        <v>2018/19</v>
      </c>
      <c r="MW2" s="59"/>
      <c r="MX2" s="59"/>
      <c r="MY2" s="59"/>
      <c r="MZ2" s="59"/>
      <c r="NA2" s="59"/>
      <c r="NB2" s="59"/>
      <c r="NC2" s="59" t="str">
        <f>IF(ShowFY,IF(MONTH(NC1)&lt;4,YEAR(NC1)-1&amp;"/"&amp;RIGHT(YEAR(NC1),2),YEAR(NC1)&amp;"/"&amp;RIGHT(YEAR(NC1)+1,2)),YEAR(NC1))</f>
        <v>2018/19</v>
      </c>
      <c r="ND2" s="59"/>
      <c r="NE2" s="59"/>
      <c r="NF2" s="59"/>
      <c r="NG2" s="59"/>
      <c r="NH2" s="59"/>
      <c r="NI2" s="62"/>
    </row>
    <row r="3" spans="1:374">
      <c r="A3" s="44" t="s">
        <v>18</v>
      </c>
      <c r="B3" s="45">
        <v>43017</v>
      </c>
      <c r="C3" s="30"/>
      <c r="D3" s="30"/>
      <c r="E3" s="29"/>
      <c r="F3" s="30"/>
      <c r="G3" s="30"/>
      <c r="H3" s="30"/>
      <c r="I3" s="31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59"/>
      <c r="CH3" s="59"/>
      <c r="CI3" s="59"/>
      <c r="CJ3" s="59"/>
      <c r="CK3" s="59"/>
      <c r="CL3" s="59"/>
      <c r="CM3" s="59"/>
      <c r="CN3" s="59"/>
      <c r="CO3" s="59"/>
      <c r="CP3" s="59"/>
      <c r="CQ3" s="59"/>
      <c r="CR3" s="59"/>
      <c r="CS3" s="59"/>
      <c r="CT3" s="59"/>
      <c r="CU3" s="59"/>
      <c r="CV3" s="59"/>
      <c r="CW3" s="59"/>
      <c r="CX3" s="59"/>
      <c r="CY3" s="59"/>
      <c r="CZ3" s="59"/>
      <c r="DA3" s="59"/>
      <c r="DB3" s="59"/>
      <c r="DC3" s="59"/>
      <c r="DD3" s="59"/>
      <c r="DE3" s="59"/>
      <c r="DF3" s="59"/>
      <c r="DG3" s="59"/>
      <c r="DH3" s="59"/>
      <c r="DI3" s="59"/>
      <c r="DJ3" s="59"/>
      <c r="DK3" s="59"/>
      <c r="DL3" s="59"/>
      <c r="DM3" s="59"/>
      <c r="DN3" s="59"/>
      <c r="DO3" s="59"/>
      <c r="DP3" s="59"/>
      <c r="DQ3" s="59"/>
      <c r="DR3" s="59"/>
      <c r="DS3" s="59"/>
      <c r="DT3" s="59"/>
      <c r="DU3" s="59"/>
      <c r="DV3" s="59"/>
      <c r="DW3" s="59"/>
      <c r="DX3" s="59"/>
      <c r="DY3" s="59"/>
      <c r="DZ3" s="59"/>
      <c r="EA3" s="59"/>
      <c r="EB3" s="59"/>
      <c r="EC3" s="59"/>
      <c r="ED3" s="59"/>
      <c r="EE3" s="59"/>
      <c r="EF3" s="59"/>
      <c r="EG3" s="59"/>
      <c r="EH3" s="59"/>
      <c r="EI3" s="59"/>
      <c r="EJ3" s="59"/>
      <c r="EK3" s="59"/>
      <c r="EL3" s="59"/>
      <c r="EM3" s="59"/>
      <c r="EN3" s="59"/>
      <c r="EO3" s="59"/>
      <c r="EP3" s="59"/>
      <c r="EQ3" s="59"/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59"/>
      <c r="FT3" s="59"/>
      <c r="FU3" s="59"/>
      <c r="FV3" s="59"/>
      <c r="FW3" s="59"/>
      <c r="FX3" s="59"/>
      <c r="FY3" s="59"/>
      <c r="FZ3" s="59"/>
      <c r="GA3" s="59"/>
      <c r="GB3" s="59"/>
      <c r="GC3" s="59"/>
      <c r="GD3" s="59"/>
      <c r="GE3" s="59"/>
      <c r="GF3" s="59"/>
      <c r="GG3" s="59"/>
      <c r="GH3" s="59"/>
      <c r="GI3" s="59"/>
      <c r="GJ3" s="59"/>
      <c r="GK3" s="59"/>
      <c r="GL3" s="59"/>
      <c r="GM3" s="59"/>
      <c r="GN3" s="59"/>
      <c r="GO3" s="59"/>
      <c r="GP3" s="59"/>
      <c r="GQ3" s="59"/>
      <c r="GR3" s="59"/>
      <c r="GS3" s="59"/>
      <c r="GT3" s="59"/>
      <c r="GU3" s="59"/>
      <c r="GV3" s="59"/>
      <c r="GW3" s="59"/>
      <c r="GX3" s="59"/>
      <c r="GY3" s="59"/>
      <c r="GZ3" s="59"/>
      <c r="HA3" s="59"/>
      <c r="HB3" s="59"/>
      <c r="HC3" s="59"/>
      <c r="HD3" s="59"/>
      <c r="HE3" s="59"/>
      <c r="HF3" s="59"/>
      <c r="HG3" s="59"/>
      <c r="HH3" s="59"/>
      <c r="HI3" s="59"/>
      <c r="HJ3" s="59"/>
      <c r="HK3" s="59"/>
      <c r="HL3" s="59"/>
      <c r="HM3" s="59"/>
      <c r="HN3" s="59"/>
      <c r="HO3" s="59"/>
      <c r="HP3" s="59"/>
      <c r="HQ3" s="59"/>
      <c r="HR3" s="59"/>
      <c r="HS3" s="59"/>
      <c r="HT3" s="59"/>
      <c r="HU3" s="59"/>
      <c r="HV3" s="59"/>
      <c r="HW3" s="59"/>
      <c r="HX3" s="59"/>
      <c r="HY3" s="59"/>
      <c r="HZ3" s="59"/>
      <c r="IA3" s="59"/>
      <c r="IB3" s="59"/>
      <c r="IC3" s="59"/>
      <c r="ID3" s="59"/>
      <c r="IE3" s="59"/>
      <c r="IF3" s="59"/>
      <c r="IG3" s="59"/>
      <c r="IH3" s="59"/>
      <c r="II3" s="59"/>
      <c r="IJ3" s="59"/>
      <c r="IK3" s="59"/>
      <c r="IL3" s="59"/>
      <c r="IM3" s="59"/>
      <c r="IN3" s="59"/>
      <c r="IO3" s="59"/>
      <c r="IP3" s="59"/>
      <c r="IQ3" s="59"/>
      <c r="IR3" s="59"/>
      <c r="IS3" s="59"/>
      <c r="IT3" s="59"/>
      <c r="IU3" s="59"/>
      <c r="IV3" s="59"/>
      <c r="IW3" s="59"/>
      <c r="IX3" s="59"/>
      <c r="IY3" s="59"/>
      <c r="IZ3" s="59"/>
      <c r="JA3" s="59"/>
      <c r="JB3" s="59"/>
      <c r="JC3" s="59"/>
      <c r="JD3" s="59"/>
      <c r="JE3" s="59"/>
      <c r="JF3" s="59"/>
      <c r="JG3" s="59"/>
      <c r="JH3" s="59"/>
      <c r="JI3" s="59"/>
      <c r="JJ3" s="59"/>
      <c r="JK3" s="59"/>
      <c r="JL3" s="59"/>
      <c r="JM3" s="59"/>
      <c r="JN3" s="59"/>
      <c r="JO3" s="59"/>
      <c r="JP3" s="59"/>
      <c r="JQ3" s="59"/>
      <c r="JR3" s="59"/>
      <c r="JS3" s="59"/>
      <c r="JT3" s="59"/>
      <c r="JU3" s="59"/>
      <c r="JV3" s="59"/>
      <c r="JW3" s="59"/>
      <c r="JX3" s="59"/>
      <c r="JY3" s="59"/>
      <c r="JZ3" s="59"/>
      <c r="KA3" s="59"/>
      <c r="KB3" s="59"/>
      <c r="KC3" s="59"/>
      <c r="KD3" s="59"/>
      <c r="KE3" s="59"/>
      <c r="KF3" s="59"/>
      <c r="KG3" s="59"/>
      <c r="KH3" s="59"/>
      <c r="KI3" s="59"/>
      <c r="KJ3" s="59"/>
      <c r="KK3" s="59"/>
      <c r="KL3" s="59"/>
      <c r="KM3" s="59"/>
      <c r="KN3" s="59"/>
      <c r="KO3" s="59"/>
      <c r="KP3" s="59"/>
      <c r="KQ3" s="59"/>
      <c r="KR3" s="59"/>
      <c r="KS3" s="59"/>
      <c r="KT3" s="59"/>
      <c r="KU3" s="59"/>
      <c r="KV3" s="59"/>
      <c r="KW3" s="59"/>
      <c r="KX3" s="59"/>
      <c r="KY3" s="59"/>
      <c r="KZ3" s="59"/>
      <c r="LA3" s="59"/>
      <c r="LB3" s="59"/>
      <c r="LC3" s="59"/>
      <c r="LD3" s="59"/>
      <c r="LE3" s="59"/>
      <c r="LF3" s="59"/>
      <c r="LG3" s="59"/>
      <c r="LH3" s="59"/>
      <c r="LI3" s="59"/>
      <c r="LJ3" s="59"/>
      <c r="LK3" s="59"/>
      <c r="LL3" s="59"/>
      <c r="LM3" s="59"/>
      <c r="LN3" s="59"/>
      <c r="LO3" s="59"/>
      <c r="LP3" s="59"/>
      <c r="LQ3" s="59"/>
      <c r="LR3" s="59"/>
      <c r="LS3" s="59"/>
      <c r="LT3" s="59"/>
      <c r="LU3" s="59"/>
      <c r="LV3" s="59"/>
      <c r="LW3" s="59"/>
      <c r="LX3" s="59"/>
      <c r="LY3" s="59"/>
      <c r="LZ3" s="59"/>
      <c r="MA3" s="59"/>
      <c r="MB3" s="59"/>
      <c r="MC3" s="59"/>
      <c r="MD3" s="59"/>
      <c r="ME3" s="59"/>
      <c r="MF3" s="59"/>
      <c r="MG3" s="59"/>
      <c r="MH3" s="59"/>
      <c r="MI3" s="59"/>
      <c r="MJ3" s="59"/>
      <c r="MK3" s="59"/>
      <c r="ML3" s="59"/>
      <c r="MM3" s="59"/>
      <c r="MN3" s="59"/>
      <c r="MO3" s="59"/>
      <c r="MP3" s="59"/>
      <c r="MQ3" s="59"/>
      <c r="MR3" s="59"/>
      <c r="MS3" s="59"/>
      <c r="MT3" s="59"/>
      <c r="MU3" s="59"/>
      <c r="MV3" s="59"/>
      <c r="MW3" s="59"/>
      <c r="MX3" s="59"/>
      <c r="MY3" s="59"/>
      <c r="MZ3" s="59"/>
      <c r="NA3" s="59"/>
      <c r="NB3" s="59"/>
      <c r="NC3" s="59"/>
      <c r="ND3" s="59"/>
      <c r="NE3" s="59"/>
      <c r="NF3" s="59"/>
      <c r="NG3" s="59"/>
      <c r="NH3" s="59"/>
      <c r="NI3" s="62"/>
    </row>
    <row r="4" spans="1:374">
      <c r="A4" s="46" t="s">
        <v>9</v>
      </c>
      <c r="B4" s="47">
        <f ca="1">TODAY()</f>
        <v>43017</v>
      </c>
      <c r="C4" s="28"/>
      <c r="D4" s="30"/>
      <c r="E4" s="30"/>
      <c r="F4" s="32"/>
      <c r="G4" s="32"/>
      <c r="H4" s="32"/>
      <c r="I4" s="32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59"/>
      <c r="BF4" s="59"/>
      <c r="BG4" s="59"/>
      <c r="BH4" s="59"/>
      <c r="BI4" s="59"/>
      <c r="BJ4" s="59"/>
      <c r="BK4" s="59"/>
      <c r="BL4" s="59"/>
      <c r="BM4" s="59"/>
      <c r="BN4" s="59"/>
      <c r="BO4" s="59"/>
      <c r="BP4" s="59"/>
      <c r="BQ4" s="59"/>
      <c r="BR4" s="59"/>
      <c r="BS4" s="59"/>
      <c r="BT4" s="59"/>
      <c r="BU4" s="59"/>
      <c r="BV4" s="59"/>
      <c r="BW4" s="59"/>
      <c r="BX4" s="59"/>
      <c r="BY4" s="59"/>
      <c r="BZ4" s="59"/>
      <c r="CA4" s="59"/>
      <c r="CB4" s="59"/>
      <c r="CC4" s="59"/>
      <c r="CD4" s="59"/>
      <c r="CE4" s="59"/>
      <c r="CF4" s="59"/>
      <c r="CG4" s="59"/>
      <c r="CH4" s="59"/>
      <c r="CI4" s="59"/>
      <c r="CJ4" s="59"/>
      <c r="CK4" s="59"/>
      <c r="CL4" s="59"/>
      <c r="CM4" s="59"/>
      <c r="CN4" s="59"/>
      <c r="CO4" s="59"/>
      <c r="CP4" s="59"/>
      <c r="CQ4" s="59"/>
      <c r="CR4" s="59"/>
      <c r="CS4" s="59"/>
      <c r="CT4" s="59"/>
      <c r="CU4" s="59"/>
      <c r="CV4" s="59"/>
      <c r="CW4" s="59"/>
      <c r="CX4" s="59"/>
      <c r="CY4" s="59"/>
      <c r="CZ4" s="59"/>
      <c r="DA4" s="59"/>
      <c r="DB4" s="59"/>
      <c r="DC4" s="59"/>
      <c r="DD4" s="59"/>
      <c r="DE4" s="59"/>
      <c r="DF4" s="59"/>
      <c r="DG4" s="59"/>
      <c r="DH4" s="59"/>
      <c r="DI4" s="59"/>
      <c r="DJ4" s="59"/>
      <c r="DK4" s="59"/>
      <c r="DL4" s="59"/>
      <c r="DM4" s="59"/>
      <c r="DN4" s="59"/>
      <c r="DO4" s="59"/>
      <c r="DP4" s="59"/>
      <c r="DQ4" s="59"/>
      <c r="DR4" s="59"/>
      <c r="DS4" s="59"/>
      <c r="DT4" s="59"/>
      <c r="DU4" s="59"/>
      <c r="DV4" s="59"/>
      <c r="DW4" s="59"/>
      <c r="DX4" s="59"/>
      <c r="DY4" s="59"/>
      <c r="DZ4" s="59"/>
      <c r="EA4" s="59"/>
      <c r="EB4" s="59"/>
      <c r="EC4" s="59"/>
      <c r="ED4" s="59"/>
      <c r="EE4" s="59"/>
      <c r="EF4" s="59"/>
      <c r="EG4" s="59"/>
      <c r="EH4" s="59"/>
      <c r="EI4" s="59"/>
      <c r="EJ4" s="59"/>
      <c r="EK4" s="59"/>
      <c r="EL4" s="59"/>
      <c r="EM4" s="59"/>
      <c r="EN4" s="59"/>
      <c r="EO4" s="59"/>
      <c r="EP4" s="59"/>
      <c r="EQ4" s="59"/>
      <c r="ER4" s="59"/>
      <c r="ES4" s="59"/>
      <c r="ET4" s="59"/>
      <c r="EU4" s="59"/>
      <c r="EV4" s="59"/>
      <c r="EW4" s="59"/>
      <c r="EX4" s="59"/>
      <c r="EY4" s="59"/>
      <c r="EZ4" s="59"/>
      <c r="FA4" s="59"/>
      <c r="FB4" s="59"/>
      <c r="FC4" s="59"/>
      <c r="FD4" s="59"/>
      <c r="FE4" s="59"/>
      <c r="FF4" s="59"/>
      <c r="FG4" s="59"/>
      <c r="FH4" s="59"/>
      <c r="FI4" s="59"/>
      <c r="FJ4" s="59"/>
      <c r="FK4" s="59"/>
      <c r="FL4" s="59"/>
      <c r="FM4" s="59"/>
      <c r="FN4" s="59"/>
      <c r="FO4" s="59"/>
      <c r="FP4" s="59"/>
      <c r="FQ4" s="59"/>
      <c r="FR4" s="59"/>
      <c r="FS4" s="59"/>
      <c r="FT4" s="59"/>
      <c r="FU4" s="59"/>
      <c r="FV4" s="59"/>
      <c r="FW4" s="59"/>
      <c r="FX4" s="59"/>
      <c r="FY4" s="59"/>
      <c r="FZ4" s="59"/>
      <c r="GA4" s="59"/>
      <c r="GB4" s="59"/>
      <c r="GC4" s="59"/>
      <c r="GD4" s="59"/>
      <c r="GE4" s="59"/>
      <c r="GF4" s="59"/>
      <c r="GG4" s="59"/>
      <c r="GH4" s="59"/>
      <c r="GI4" s="59"/>
      <c r="GJ4" s="59"/>
      <c r="GK4" s="59"/>
      <c r="GL4" s="59"/>
      <c r="GM4" s="59"/>
      <c r="GN4" s="59"/>
      <c r="GO4" s="59"/>
      <c r="GP4" s="59"/>
      <c r="GQ4" s="59"/>
      <c r="GR4" s="59"/>
      <c r="GS4" s="59"/>
      <c r="GT4" s="59"/>
      <c r="GU4" s="59"/>
      <c r="GV4" s="59"/>
      <c r="GW4" s="59"/>
      <c r="GX4" s="59"/>
      <c r="GY4" s="59"/>
      <c r="GZ4" s="59"/>
      <c r="HA4" s="59"/>
      <c r="HB4" s="59"/>
      <c r="HC4" s="59"/>
      <c r="HD4" s="59"/>
      <c r="HE4" s="59"/>
      <c r="HF4" s="59"/>
      <c r="HG4" s="59"/>
      <c r="HH4" s="59"/>
      <c r="HI4" s="59"/>
      <c r="HJ4" s="59"/>
      <c r="HK4" s="59"/>
      <c r="HL4" s="59"/>
      <c r="HM4" s="59"/>
      <c r="HN4" s="59"/>
      <c r="HO4" s="59"/>
      <c r="HP4" s="59"/>
      <c r="HQ4" s="59"/>
      <c r="HR4" s="59"/>
      <c r="HS4" s="59"/>
      <c r="HT4" s="59"/>
      <c r="HU4" s="59"/>
      <c r="HV4" s="59"/>
      <c r="HW4" s="59"/>
      <c r="HX4" s="59"/>
      <c r="HY4" s="59"/>
      <c r="HZ4" s="59"/>
      <c r="IA4" s="59"/>
      <c r="IB4" s="59"/>
      <c r="IC4" s="59"/>
      <c r="ID4" s="59"/>
      <c r="IE4" s="59"/>
      <c r="IF4" s="59"/>
      <c r="IG4" s="59"/>
      <c r="IH4" s="59"/>
      <c r="II4" s="59"/>
      <c r="IJ4" s="59"/>
      <c r="IK4" s="59"/>
      <c r="IL4" s="59"/>
      <c r="IM4" s="59"/>
      <c r="IN4" s="59"/>
      <c r="IO4" s="59"/>
      <c r="IP4" s="59"/>
      <c r="IQ4" s="59"/>
      <c r="IR4" s="59"/>
      <c r="IS4" s="59"/>
      <c r="IT4" s="59"/>
      <c r="IU4" s="59"/>
      <c r="IV4" s="59"/>
      <c r="IW4" s="59"/>
      <c r="IX4" s="59"/>
      <c r="IY4" s="59"/>
      <c r="IZ4" s="59"/>
      <c r="JA4" s="59"/>
      <c r="JB4" s="59"/>
      <c r="JC4" s="59"/>
      <c r="JD4" s="59"/>
      <c r="JE4" s="59"/>
      <c r="JF4" s="59"/>
      <c r="JG4" s="59"/>
      <c r="JH4" s="59"/>
      <c r="JI4" s="59"/>
      <c r="JJ4" s="59"/>
      <c r="JK4" s="59"/>
      <c r="JL4" s="59"/>
      <c r="JM4" s="59"/>
      <c r="JN4" s="59"/>
      <c r="JO4" s="59"/>
      <c r="JP4" s="59"/>
      <c r="JQ4" s="59"/>
      <c r="JR4" s="59"/>
      <c r="JS4" s="59"/>
      <c r="JT4" s="59"/>
      <c r="JU4" s="59"/>
      <c r="JV4" s="59"/>
      <c r="JW4" s="59"/>
      <c r="JX4" s="59"/>
      <c r="JY4" s="59"/>
      <c r="JZ4" s="59"/>
      <c r="KA4" s="59"/>
      <c r="KB4" s="59"/>
      <c r="KC4" s="59"/>
      <c r="KD4" s="59"/>
      <c r="KE4" s="59"/>
      <c r="KF4" s="59"/>
      <c r="KG4" s="59"/>
      <c r="KH4" s="59"/>
      <c r="KI4" s="59"/>
      <c r="KJ4" s="59"/>
      <c r="KK4" s="59"/>
      <c r="KL4" s="59"/>
      <c r="KM4" s="59"/>
      <c r="KN4" s="59"/>
      <c r="KO4" s="59"/>
      <c r="KP4" s="59"/>
      <c r="KQ4" s="59"/>
      <c r="KR4" s="59"/>
      <c r="KS4" s="59"/>
      <c r="KT4" s="59"/>
      <c r="KU4" s="59"/>
      <c r="KV4" s="59"/>
      <c r="KW4" s="59"/>
      <c r="KX4" s="59"/>
      <c r="KY4" s="59"/>
      <c r="KZ4" s="59"/>
      <c r="LA4" s="59"/>
      <c r="LB4" s="59"/>
      <c r="LC4" s="59"/>
      <c r="LD4" s="59"/>
      <c r="LE4" s="59"/>
      <c r="LF4" s="59"/>
      <c r="LG4" s="59"/>
      <c r="LH4" s="59"/>
      <c r="LI4" s="59"/>
      <c r="LJ4" s="59"/>
      <c r="LK4" s="59"/>
      <c r="LL4" s="59"/>
      <c r="LM4" s="59"/>
      <c r="LN4" s="59"/>
      <c r="LO4" s="59"/>
      <c r="LP4" s="59"/>
      <c r="LQ4" s="59"/>
      <c r="LR4" s="59"/>
      <c r="LS4" s="59"/>
      <c r="LT4" s="59"/>
      <c r="LU4" s="59"/>
      <c r="LV4" s="59"/>
      <c r="LW4" s="59"/>
      <c r="LX4" s="59"/>
      <c r="LY4" s="59"/>
      <c r="LZ4" s="59"/>
      <c r="MA4" s="59"/>
      <c r="MB4" s="59"/>
      <c r="MC4" s="59"/>
      <c r="MD4" s="59"/>
      <c r="ME4" s="59"/>
      <c r="MF4" s="59"/>
      <c r="MG4" s="59"/>
      <c r="MH4" s="59"/>
      <c r="MI4" s="59"/>
      <c r="MJ4" s="59"/>
      <c r="MK4" s="59"/>
      <c r="ML4" s="59"/>
      <c r="MM4" s="59"/>
      <c r="MN4" s="59"/>
      <c r="MO4" s="59"/>
      <c r="MP4" s="59"/>
      <c r="MQ4" s="59"/>
      <c r="MR4" s="59"/>
      <c r="MS4" s="59"/>
      <c r="MT4" s="59"/>
      <c r="MU4" s="59"/>
      <c r="MV4" s="59"/>
      <c r="MW4" s="59"/>
      <c r="MX4" s="59"/>
      <c r="MY4" s="59"/>
      <c r="MZ4" s="59"/>
      <c r="NA4" s="59"/>
      <c r="NB4" s="59"/>
      <c r="NC4" s="59"/>
      <c r="ND4" s="59"/>
      <c r="NE4" s="59"/>
      <c r="NF4" s="59"/>
      <c r="NG4" s="59"/>
      <c r="NH4" s="59"/>
      <c r="NI4" s="62"/>
    </row>
    <row r="5" spans="1:374" ht="39" customHeight="1">
      <c r="A5" s="24" t="s">
        <v>0</v>
      </c>
      <c r="B5" s="25" t="s">
        <v>17</v>
      </c>
      <c r="C5" s="26" t="s">
        <v>3</v>
      </c>
      <c r="D5" s="26" t="s">
        <v>5</v>
      </c>
      <c r="E5" s="26" t="s">
        <v>4</v>
      </c>
      <c r="F5" s="21" t="s">
        <v>20</v>
      </c>
      <c r="G5" s="27" t="s">
        <v>21</v>
      </c>
      <c r="H5" s="22" t="s">
        <v>22</v>
      </c>
      <c r="I5" s="23" t="s">
        <v>23</v>
      </c>
      <c r="J5" s="57" t="str">
        <f>UPPER(TEXT(J1,"dd-mmm"))</f>
        <v>09-OCT</v>
      </c>
      <c r="K5" s="60"/>
      <c r="L5" s="60"/>
      <c r="M5" s="60"/>
      <c r="N5" s="60"/>
      <c r="O5" s="60"/>
      <c r="P5" s="60"/>
      <c r="Q5" s="57" t="str">
        <f>UPPER(TEXT(Q1,"dd-mmm"))</f>
        <v>16-OCT</v>
      </c>
      <c r="R5" s="58"/>
      <c r="S5" s="58"/>
      <c r="T5" s="58"/>
      <c r="U5" s="58"/>
      <c r="V5" s="58"/>
      <c r="W5" s="58"/>
      <c r="X5" s="57" t="str">
        <f>UPPER(TEXT(X1,"dd-mmm"))</f>
        <v>23-OCT</v>
      </c>
      <c r="Y5" s="58"/>
      <c r="Z5" s="58"/>
      <c r="AA5" s="58"/>
      <c r="AB5" s="58"/>
      <c r="AC5" s="58"/>
      <c r="AD5" s="58"/>
      <c r="AE5" s="57" t="str">
        <f>UPPER(TEXT(AE1,"dd-mmm"))</f>
        <v>30-OCT</v>
      </c>
      <c r="AF5" s="58"/>
      <c r="AG5" s="58"/>
      <c r="AH5" s="58"/>
      <c r="AI5" s="58"/>
      <c r="AJ5" s="58"/>
      <c r="AK5" s="58"/>
      <c r="AL5" s="57" t="str">
        <f>UPPER(TEXT(AL1,"dd-mmm"))</f>
        <v>06-NOV</v>
      </c>
      <c r="AM5" s="58"/>
      <c r="AN5" s="58"/>
      <c r="AO5" s="58"/>
      <c r="AP5" s="58"/>
      <c r="AQ5" s="58"/>
      <c r="AR5" s="58"/>
      <c r="AS5" s="57" t="str">
        <f>UPPER(TEXT(AS1,"dd-mmm"))</f>
        <v>13-NOV</v>
      </c>
      <c r="AT5" s="58"/>
      <c r="AU5" s="58"/>
      <c r="AV5" s="58"/>
      <c r="AW5" s="58"/>
      <c r="AX5" s="58"/>
      <c r="AY5" s="58"/>
      <c r="AZ5" s="57" t="str">
        <f>UPPER(TEXT(AZ1,"dd-mmm"))</f>
        <v>20-NOV</v>
      </c>
      <c r="BA5" s="58"/>
      <c r="BB5" s="58"/>
      <c r="BC5" s="58"/>
      <c r="BD5" s="58"/>
      <c r="BE5" s="58"/>
      <c r="BF5" s="58"/>
      <c r="BG5" s="57" t="str">
        <f>UPPER(TEXT(BG1,"dd-mmm"))</f>
        <v>27-NOV</v>
      </c>
      <c r="BH5" s="58"/>
      <c r="BI5" s="58"/>
      <c r="BJ5" s="58"/>
      <c r="BK5" s="58"/>
      <c r="BL5" s="58"/>
      <c r="BM5" s="58"/>
      <c r="BN5" s="57" t="str">
        <f>UPPER(TEXT(BN1,"dd-mmm"))</f>
        <v>04-DEC</v>
      </c>
      <c r="BO5" s="58"/>
      <c r="BP5" s="58"/>
      <c r="BQ5" s="58"/>
      <c r="BR5" s="58"/>
      <c r="BS5" s="58"/>
      <c r="BT5" s="58"/>
      <c r="BU5" s="57" t="str">
        <f>UPPER(TEXT(BU1,"dd-mmm"))</f>
        <v>11-DEC</v>
      </c>
      <c r="BV5" s="58"/>
      <c r="BW5" s="58"/>
      <c r="BX5" s="58"/>
      <c r="BY5" s="58"/>
      <c r="BZ5" s="58"/>
      <c r="CA5" s="58"/>
      <c r="CB5" s="57" t="str">
        <f>UPPER(TEXT(CB1,"dd-mmm"))</f>
        <v>18-DEC</v>
      </c>
      <c r="CC5" s="58"/>
      <c r="CD5" s="58"/>
      <c r="CE5" s="58"/>
      <c r="CF5" s="58"/>
      <c r="CG5" s="58"/>
      <c r="CH5" s="58"/>
      <c r="CI5" s="57" t="str">
        <f>UPPER(TEXT(CI1,"dd-mmm"))</f>
        <v>25-DEC</v>
      </c>
      <c r="CJ5" s="58"/>
      <c r="CK5" s="58"/>
      <c r="CL5" s="58"/>
      <c r="CM5" s="58"/>
      <c r="CN5" s="58"/>
      <c r="CO5" s="58"/>
      <c r="CP5" s="57" t="str">
        <f>UPPER(TEXT(CP1,"dd-mmm"))</f>
        <v>01-JAN</v>
      </c>
      <c r="CQ5" s="58"/>
      <c r="CR5" s="58"/>
      <c r="CS5" s="58"/>
      <c r="CT5" s="58"/>
      <c r="CU5" s="58"/>
      <c r="CV5" s="58"/>
      <c r="CW5" s="57" t="str">
        <f>UPPER(TEXT(CW1,"dd-mmm"))</f>
        <v>08-JAN</v>
      </c>
      <c r="CX5" s="58"/>
      <c r="CY5" s="58"/>
      <c r="CZ5" s="58"/>
      <c r="DA5" s="58"/>
      <c r="DB5" s="58"/>
      <c r="DC5" s="58"/>
      <c r="DD5" s="57" t="str">
        <f>UPPER(TEXT(DD1,"dd-mmm"))</f>
        <v>15-JAN</v>
      </c>
      <c r="DE5" s="58"/>
      <c r="DF5" s="58"/>
      <c r="DG5" s="58"/>
      <c r="DH5" s="58"/>
      <c r="DI5" s="58"/>
      <c r="DJ5" s="58"/>
      <c r="DK5" s="57" t="str">
        <f>UPPER(TEXT(DK1,"dd-mmm"))</f>
        <v>22-JAN</v>
      </c>
      <c r="DL5" s="58"/>
      <c r="DM5" s="58"/>
      <c r="DN5" s="58"/>
      <c r="DO5" s="58"/>
      <c r="DP5" s="58"/>
      <c r="DQ5" s="58"/>
      <c r="DR5" s="57" t="str">
        <f>UPPER(TEXT(DR1,"dd-mmm"))</f>
        <v>29-JAN</v>
      </c>
      <c r="DS5" s="58"/>
      <c r="DT5" s="58"/>
      <c r="DU5" s="58"/>
      <c r="DV5" s="58"/>
      <c r="DW5" s="58"/>
      <c r="DX5" s="58"/>
      <c r="DY5" s="57" t="str">
        <f>UPPER(TEXT(DY1,"dd-mmm"))</f>
        <v>05-FEB</v>
      </c>
      <c r="DZ5" s="58"/>
      <c r="EA5" s="58"/>
      <c r="EB5" s="58"/>
      <c r="EC5" s="58"/>
      <c r="ED5" s="58"/>
      <c r="EE5" s="58"/>
      <c r="EF5" s="57" t="str">
        <f>UPPER(TEXT(EF1,"dd-mmm"))</f>
        <v>12-FEB</v>
      </c>
      <c r="EG5" s="58"/>
      <c r="EH5" s="58"/>
      <c r="EI5" s="58"/>
      <c r="EJ5" s="58"/>
      <c r="EK5" s="58"/>
      <c r="EL5" s="58"/>
      <c r="EM5" s="57" t="str">
        <f>UPPER(TEXT(EM1,"dd-mmm"))</f>
        <v>19-FEB</v>
      </c>
      <c r="EN5" s="58"/>
      <c r="EO5" s="58"/>
      <c r="EP5" s="58"/>
      <c r="EQ5" s="58"/>
      <c r="ER5" s="58"/>
      <c r="ES5" s="58"/>
      <c r="ET5" s="57" t="str">
        <f>UPPER(TEXT(ET1,"dd-mmm"))</f>
        <v>26-FEB</v>
      </c>
      <c r="EU5" s="58"/>
      <c r="EV5" s="58"/>
      <c r="EW5" s="58"/>
      <c r="EX5" s="58"/>
      <c r="EY5" s="58"/>
      <c r="EZ5" s="58"/>
      <c r="FA5" s="57" t="str">
        <f>UPPER(TEXT(FA1,"dd-mmm"))</f>
        <v>05-MAR</v>
      </c>
      <c r="FB5" s="58"/>
      <c r="FC5" s="58"/>
      <c r="FD5" s="58"/>
      <c r="FE5" s="58"/>
      <c r="FF5" s="58"/>
      <c r="FG5" s="58"/>
      <c r="FH5" s="57" t="str">
        <f>UPPER(TEXT(FH1,"dd-mmm"))</f>
        <v>12-MAR</v>
      </c>
      <c r="FI5" s="58"/>
      <c r="FJ5" s="58"/>
      <c r="FK5" s="58"/>
      <c r="FL5" s="58"/>
      <c r="FM5" s="58"/>
      <c r="FN5" s="58"/>
      <c r="FO5" s="57" t="str">
        <f>UPPER(TEXT(FO1,"dd-mmm"))</f>
        <v>19-MAR</v>
      </c>
      <c r="FP5" s="58"/>
      <c r="FQ5" s="58"/>
      <c r="FR5" s="58"/>
      <c r="FS5" s="58"/>
      <c r="FT5" s="58"/>
      <c r="FU5" s="58"/>
      <c r="FV5" s="57" t="str">
        <f>UPPER(TEXT(FV1,"dd-mmm"))</f>
        <v>26-MAR</v>
      </c>
      <c r="FW5" s="58"/>
      <c r="FX5" s="58"/>
      <c r="FY5" s="58"/>
      <c r="FZ5" s="58"/>
      <c r="GA5" s="58"/>
      <c r="GB5" s="58"/>
      <c r="GC5" s="57" t="str">
        <f>UPPER(TEXT(GC1,"dd-mmm"))</f>
        <v>02-APR</v>
      </c>
      <c r="GD5" s="58"/>
      <c r="GE5" s="58"/>
      <c r="GF5" s="58"/>
      <c r="GG5" s="58"/>
      <c r="GH5" s="58"/>
      <c r="GI5" s="58"/>
      <c r="GJ5" s="57" t="str">
        <f>UPPER(TEXT(GJ1,"dd-mmm"))</f>
        <v>09-APR</v>
      </c>
      <c r="GK5" s="58"/>
      <c r="GL5" s="58"/>
      <c r="GM5" s="58"/>
      <c r="GN5" s="58"/>
      <c r="GO5" s="58"/>
      <c r="GP5" s="58"/>
      <c r="GQ5" s="57" t="str">
        <f>UPPER(TEXT(GQ1,"dd-mmm"))</f>
        <v>16-APR</v>
      </c>
      <c r="GR5" s="58"/>
      <c r="GS5" s="58"/>
      <c r="GT5" s="58"/>
      <c r="GU5" s="58"/>
      <c r="GV5" s="58"/>
      <c r="GW5" s="58"/>
      <c r="GX5" s="57" t="str">
        <f>UPPER(TEXT(GX1,"dd-mmm"))</f>
        <v>23-APR</v>
      </c>
      <c r="GY5" s="58"/>
      <c r="GZ5" s="58"/>
      <c r="HA5" s="58"/>
      <c r="HB5" s="58"/>
      <c r="HC5" s="58"/>
      <c r="HD5" s="58"/>
      <c r="HE5" s="57" t="str">
        <f>UPPER(TEXT(HE1,"dd-mmm"))</f>
        <v>30-APR</v>
      </c>
      <c r="HF5" s="58"/>
      <c r="HG5" s="58"/>
      <c r="HH5" s="58"/>
      <c r="HI5" s="58"/>
      <c r="HJ5" s="58"/>
      <c r="HK5" s="58"/>
      <c r="HL5" s="57" t="str">
        <f>UPPER(TEXT(HL1,"dd-mmm"))</f>
        <v>07-MAY</v>
      </c>
      <c r="HM5" s="58"/>
      <c r="HN5" s="58"/>
      <c r="HO5" s="58"/>
      <c r="HP5" s="58"/>
      <c r="HQ5" s="58"/>
      <c r="HR5" s="58"/>
      <c r="HS5" s="57" t="str">
        <f>UPPER(TEXT(HS1,"dd-mmm"))</f>
        <v>14-MAY</v>
      </c>
      <c r="HT5" s="58"/>
      <c r="HU5" s="58"/>
      <c r="HV5" s="58"/>
      <c r="HW5" s="58"/>
      <c r="HX5" s="58"/>
      <c r="HY5" s="58"/>
      <c r="HZ5" s="57" t="str">
        <f>UPPER(TEXT(HZ1,"dd-mmm"))</f>
        <v>21-MAY</v>
      </c>
      <c r="IA5" s="58"/>
      <c r="IB5" s="58"/>
      <c r="IC5" s="58"/>
      <c r="ID5" s="58"/>
      <c r="IE5" s="58"/>
      <c r="IF5" s="58"/>
      <c r="IG5" s="57" t="str">
        <f>UPPER(TEXT(IG1,"dd-mmm"))</f>
        <v>28-MAY</v>
      </c>
      <c r="IH5" s="58"/>
      <c r="II5" s="58"/>
      <c r="IJ5" s="58"/>
      <c r="IK5" s="58"/>
      <c r="IL5" s="58"/>
      <c r="IM5" s="58"/>
      <c r="IN5" s="57" t="str">
        <f>UPPER(TEXT(IN1,"dd-mmm"))</f>
        <v>04-JUN</v>
      </c>
      <c r="IO5" s="58"/>
      <c r="IP5" s="58"/>
      <c r="IQ5" s="58"/>
      <c r="IR5" s="58"/>
      <c r="IS5" s="58"/>
      <c r="IT5" s="58"/>
      <c r="IU5" s="57" t="str">
        <f>UPPER(TEXT(IU1,"dd-mmm"))</f>
        <v>11-JUN</v>
      </c>
      <c r="IV5" s="58"/>
      <c r="IW5" s="58"/>
      <c r="IX5" s="58"/>
      <c r="IY5" s="58"/>
      <c r="IZ5" s="58"/>
      <c r="JA5" s="58"/>
      <c r="JB5" s="57" t="str">
        <f>UPPER(TEXT(JB1,"dd-mmm"))</f>
        <v>18-JUN</v>
      </c>
      <c r="JC5" s="58"/>
      <c r="JD5" s="58"/>
      <c r="JE5" s="58"/>
      <c r="JF5" s="58"/>
      <c r="JG5" s="58"/>
      <c r="JH5" s="58"/>
      <c r="JI5" s="57" t="str">
        <f>UPPER(TEXT(JI1,"dd-mmm"))</f>
        <v>25-JUN</v>
      </c>
      <c r="JJ5" s="58"/>
      <c r="JK5" s="58"/>
      <c r="JL5" s="58"/>
      <c r="JM5" s="58"/>
      <c r="JN5" s="58"/>
      <c r="JO5" s="58"/>
      <c r="JP5" s="57" t="str">
        <f>UPPER(TEXT(JP1,"dd-mmm"))</f>
        <v>02-JUL</v>
      </c>
      <c r="JQ5" s="58"/>
      <c r="JR5" s="58"/>
      <c r="JS5" s="58"/>
      <c r="JT5" s="58"/>
      <c r="JU5" s="58"/>
      <c r="JV5" s="58"/>
      <c r="JW5" s="57" t="str">
        <f>UPPER(TEXT(JW1,"dd-mmm"))</f>
        <v>09-JUL</v>
      </c>
      <c r="JX5" s="58"/>
      <c r="JY5" s="58"/>
      <c r="JZ5" s="58"/>
      <c r="KA5" s="58"/>
      <c r="KB5" s="58"/>
      <c r="KC5" s="58"/>
      <c r="KD5" s="57" t="str">
        <f>UPPER(TEXT(KD1,"dd-mmm"))</f>
        <v>16-JUL</v>
      </c>
      <c r="KE5" s="58"/>
      <c r="KF5" s="58"/>
      <c r="KG5" s="58"/>
      <c r="KH5" s="58"/>
      <c r="KI5" s="58"/>
      <c r="KJ5" s="58"/>
      <c r="KK5" s="57" t="str">
        <f>UPPER(TEXT(KK1,"dd-mmm"))</f>
        <v>23-JUL</v>
      </c>
      <c r="KL5" s="58"/>
      <c r="KM5" s="58"/>
      <c r="KN5" s="58"/>
      <c r="KO5" s="58"/>
      <c r="KP5" s="58"/>
      <c r="KQ5" s="58"/>
      <c r="KR5" s="57" t="str">
        <f>UPPER(TEXT(KR1,"dd-mmm"))</f>
        <v>30-JUL</v>
      </c>
      <c r="KS5" s="58"/>
      <c r="KT5" s="58"/>
      <c r="KU5" s="58"/>
      <c r="KV5" s="58"/>
      <c r="KW5" s="58"/>
      <c r="KX5" s="58"/>
      <c r="KY5" s="57" t="str">
        <f>UPPER(TEXT(KY1,"dd-mmm"))</f>
        <v>06-AUG</v>
      </c>
      <c r="KZ5" s="58"/>
      <c r="LA5" s="58"/>
      <c r="LB5" s="58"/>
      <c r="LC5" s="58"/>
      <c r="LD5" s="58"/>
      <c r="LE5" s="58"/>
      <c r="LF5" s="57" t="str">
        <f>UPPER(TEXT(LF1,"dd-mmm"))</f>
        <v>13-AUG</v>
      </c>
      <c r="LG5" s="58"/>
      <c r="LH5" s="58"/>
      <c r="LI5" s="58"/>
      <c r="LJ5" s="58"/>
      <c r="LK5" s="58"/>
      <c r="LL5" s="58"/>
      <c r="LM5" s="57" t="str">
        <f>UPPER(TEXT(LM1,"dd-mmm"))</f>
        <v>20-AUG</v>
      </c>
      <c r="LN5" s="58"/>
      <c r="LO5" s="58"/>
      <c r="LP5" s="58"/>
      <c r="LQ5" s="58"/>
      <c r="LR5" s="58"/>
      <c r="LS5" s="58"/>
      <c r="LT5" s="57" t="str">
        <f>UPPER(TEXT(LT1,"dd-mmm"))</f>
        <v>27-AUG</v>
      </c>
      <c r="LU5" s="58"/>
      <c r="LV5" s="58"/>
      <c r="LW5" s="58"/>
      <c r="LX5" s="58"/>
      <c r="LY5" s="58"/>
      <c r="LZ5" s="58"/>
      <c r="MA5" s="57" t="str">
        <f>UPPER(TEXT(MA1,"dd-mmm"))</f>
        <v>03-SEP</v>
      </c>
      <c r="MB5" s="58"/>
      <c r="MC5" s="58"/>
      <c r="MD5" s="58"/>
      <c r="ME5" s="58"/>
      <c r="MF5" s="58"/>
      <c r="MG5" s="58"/>
      <c r="MH5" s="57" t="str">
        <f>UPPER(TEXT(MH1,"dd-mmm"))</f>
        <v>10-SEP</v>
      </c>
      <c r="MI5" s="58"/>
      <c r="MJ5" s="58"/>
      <c r="MK5" s="58"/>
      <c r="ML5" s="58"/>
      <c r="MM5" s="58"/>
      <c r="MN5" s="58"/>
      <c r="MO5" s="57" t="str">
        <f>UPPER(TEXT(MO1,"dd-mmm"))</f>
        <v>17-SEP</v>
      </c>
      <c r="MP5" s="58"/>
      <c r="MQ5" s="58"/>
      <c r="MR5" s="58"/>
      <c r="MS5" s="58"/>
      <c r="MT5" s="58"/>
      <c r="MU5" s="58"/>
      <c r="MV5" s="57" t="str">
        <f>UPPER(TEXT(MV1,"dd-mmm"))</f>
        <v>24-SEP</v>
      </c>
      <c r="MW5" s="58"/>
      <c r="MX5" s="58"/>
      <c r="MY5" s="58"/>
      <c r="MZ5" s="58"/>
      <c r="NA5" s="58"/>
      <c r="NB5" s="58"/>
      <c r="NC5" s="57" t="str">
        <f>UPPER(TEXT(NC1,"dd-mmm"))</f>
        <v>01-OCT</v>
      </c>
      <c r="ND5" s="58"/>
      <c r="NE5" s="58"/>
      <c r="NF5" s="58"/>
      <c r="NG5" s="58"/>
      <c r="NH5" s="58"/>
      <c r="NI5" s="58"/>
    </row>
    <row r="6" spans="1:374">
      <c r="A6" s="35">
        <v>1</v>
      </c>
      <c r="B6" s="36" t="s">
        <v>28</v>
      </c>
      <c r="C6" s="37">
        <v>43018</v>
      </c>
      <c r="D6" s="37">
        <f>MAX(D7,D8)</f>
        <v>43020</v>
      </c>
      <c r="E6" s="37"/>
      <c r="F6" s="38">
        <f t="shared" ref="F6:F49" si="195">IF(ISBLANK(A6),"",IF(OR(ISBLANK(C6),ISBLANK(D6)),0,NETWORKDAYS(C6,D6)))</f>
        <v>3</v>
      </c>
      <c r="G6" s="39">
        <f t="shared" ref="G6:G49" ca="1" si="196">IF(ISBLANK(A6),"",IF(OR(ISBLANK(C6),ISBLANK(D6)),0,IF(Today&lt;C6,0,NETWORKDAYS(C6,IF(ISBLANK(E6),Today-1,E6)))))</f>
        <v>0</v>
      </c>
      <c r="H6" s="39">
        <f t="shared" ref="H6:H49" ca="1" si="197">IF(ISBLANK(A6),"",IF(OR(ISBLANK(C6),ISBLANK(D6)),0,IF(OR(Today&gt;D6,NOT(ISBLANK(E6))),0,IF(Today&lt;C6,NETWORKDAYS(C6,D6),NETWORKDAYS(Today,D6)))))</f>
        <v>3</v>
      </c>
      <c r="I6" s="38">
        <f t="shared" ref="I6:I49" si="198">IF(ISBLANK(A6),"",IF(NOT(ISBLANK(E6)),IF(E6&gt;D6,E6-D6,0),0))</f>
        <v>0</v>
      </c>
      <c r="J6" s="14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6"/>
      <c r="NJ6" s="17"/>
    </row>
    <row r="7" spans="1:374">
      <c r="A7" s="18">
        <v>1.1000000000000001</v>
      </c>
      <c r="B7" s="19" t="s">
        <v>32</v>
      </c>
      <c r="C7" s="20">
        <v>43018</v>
      </c>
      <c r="D7" s="20">
        <v>43019</v>
      </c>
      <c r="E7" s="20"/>
      <c r="F7" s="7">
        <f t="shared" si="195"/>
        <v>2</v>
      </c>
      <c r="G7" s="8">
        <f t="shared" ca="1" si="196"/>
        <v>0</v>
      </c>
      <c r="H7" s="8">
        <f t="shared" ca="1" si="197"/>
        <v>2</v>
      </c>
      <c r="I7" s="7">
        <f t="shared" si="198"/>
        <v>0</v>
      </c>
      <c r="J7" s="9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  <c r="FS7" s="6"/>
      <c r="FT7" s="6"/>
      <c r="FU7" s="6"/>
      <c r="FV7" s="6"/>
      <c r="FW7" s="6"/>
      <c r="FX7" s="6"/>
      <c r="FY7" s="6"/>
      <c r="FZ7" s="6"/>
      <c r="GA7" s="6"/>
      <c r="GB7" s="6"/>
      <c r="GC7" s="6"/>
      <c r="GD7" s="6"/>
      <c r="GE7" s="6"/>
      <c r="GF7" s="6"/>
      <c r="GG7" s="6"/>
      <c r="GH7" s="6"/>
      <c r="GI7" s="6"/>
      <c r="GJ7" s="6"/>
      <c r="GK7" s="6"/>
      <c r="GL7" s="6"/>
      <c r="GM7" s="6"/>
      <c r="GN7" s="6"/>
      <c r="GO7" s="6"/>
      <c r="GP7" s="6"/>
      <c r="GQ7" s="6"/>
      <c r="GR7" s="6"/>
      <c r="GS7" s="6"/>
      <c r="GT7" s="6"/>
      <c r="GU7" s="6"/>
      <c r="GV7" s="6"/>
      <c r="GW7" s="6"/>
      <c r="GX7" s="6"/>
      <c r="GY7" s="6"/>
      <c r="GZ7" s="6"/>
      <c r="HA7" s="6"/>
      <c r="HB7" s="6"/>
      <c r="HC7" s="6"/>
      <c r="HD7" s="6"/>
      <c r="HE7" s="6"/>
      <c r="HF7" s="6"/>
      <c r="HG7" s="6"/>
      <c r="HH7" s="6"/>
      <c r="HI7" s="6"/>
      <c r="HJ7" s="6"/>
      <c r="HK7" s="6"/>
      <c r="HL7" s="6"/>
      <c r="HM7" s="6"/>
      <c r="HN7" s="6"/>
      <c r="HO7" s="6"/>
      <c r="HP7" s="6"/>
      <c r="HQ7" s="6"/>
      <c r="HR7" s="6"/>
      <c r="HS7" s="6"/>
      <c r="HT7" s="6"/>
      <c r="HU7" s="6"/>
      <c r="HV7" s="6"/>
      <c r="HW7" s="6"/>
      <c r="HX7" s="6"/>
      <c r="HY7" s="6"/>
      <c r="HZ7" s="6"/>
      <c r="IA7" s="6"/>
      <c r="IB7" s="6"/>
      <c r="IC7" s="6"/>
      <c r="ID7" s="6"/>
      <c r="IE7" s="6"/>
      <c r="IF7" s="6"/>
      <c r="IG7" s="6"/>
      <c r="IH7" s="6"/>
      <c r="II7" s="6"/>
      <c r="IJ7" s="6"/>
      <c r="IK7" s="6"/>
      <c r="IL7" s="6"/>
      <c r="IM7" s="6"/>
      <c r="IN7" s="6"/>
      <c r="IO7" s="6"/>
      <c r="IP7" s="6"/>
      <c r="IQ7" s="6"/>
      <c r="IR7" s="6"/>
      <c r="IS7" s="6"/>
      <c r="IT7" s="6"/>
      <c r="IU7" s="6"/>
      <c r="IV7" s="6"/>
      <c r="IW7" s="6"/>
      <c r="IX7" s="6"/>
      <c r="IY7" s="6"/>
      <c r="IZ7" s="6"/>
      <c r="JA7" s="6"/>
      <c r="JB7" s="6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10"/>
      <c r="NJ7" s="17"/>
    </row>
    <row r="8" spans="1:374">
      <c r="A8" s="18">
        <v>1.2</v>
      </c>
      <c r="B8" s="19" t="s">
        <v>29</v>
      </c>
      <c r="C8" s="20">
        <v>43018</v>
      </c>
      <c r="D8" s="20">
        <v>43020</v>
      </c>
      <c r="E8" s="20"/>
      <c r="F8" s="7">
        <f t="shared" si="195"/>
        <v>3</v>
      </c>
      <c r="G8" s="8">
        <f t="shared" ca="1" si="196"/>
        <v>0</v>
      </c>
      <c r="H8" s="8">
        <f t="shared" ca="1" si="197"/>
        <v>3</v>
      </c>
      <c r="I8" s="7">
        <f t="shared" si="198"/>
        <v>0</v>
      </c>
      <c r="J8" s="9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10"/>
      <c r="NJ8" s="17"/>
    </row>
    <row r="9" spans="1:374" hidden="1">
      <c r="A9" s="18">
        <v>1.3</v>
      </c>
      <c r="B9" s="19" t="s">
        <v>24</v>
      </c>
      <c r="C9" s="20">
        <v>40148</v>
      </c>
      <c r="D9" s="20">
        <v>40168</v>
      </c>
      <c r="E9" s="20">
        <v>40171</v>
      </c>
      <c r="F9" s="7">
        <f t="shared" si="195"/>
        <v>15</v>
      </c>
      <c r="G9" s="8">
        <f t="shared" ca="1" si="196"/>
        <v>18</v>
      </c>
      <c r="H9" s="8">
        <f t="shared" ca="1" si="197"/>
        <v>0</v>
      </c>
      <c r="I9" s="7">
        <f t="shared" si="198"/>
        <v>3</v>
      </c>
      <c r="J9" s="9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  <c r="IG9" s="6"/>
      <c r="IH9" s="6"/>
      <c r="II9" s="6"/>
      <c r="IJ9" s="6"/>
      <c r="IK9" s="6"/>
      <c r="IL9" s="6"/>
      <c r="IM9" s="6"/>
      <c r="IN9" s="6"/>
      <c r="IO9" s="6"/>
      <c r="IP9" s="6"/>
      <c r="IQ9" s="6"/>
      <c r="IR9" s="6"/>
      <c r="IS9" s="6"/>
      <c r="IT9" s="6"/>
      <c r="IU9" s="6"/>
      <c r="IV9" s="6"/>
      <c r="IW9" s="6"/>
      <c r="IX9" s="6"/>
      <c r="IY9" s="6"/>
      <c r="IZ9" s="6"/>
      <c r="JA9" s="6"/>
      <c r="JB9" s="6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10"/>
      <c r="NJ9" s="17"/>
    </row>
    <row r="10" spans="1:374" hidden="1">
      <c r="A10" s="18">
        <v>1.4</v>
      </c>
      <c r="B10" s="19" t="s">
        <v>25</v>
      </c>
      <c r="C10" s="20">
        <v>40148</v>
      </c>
      <c r="D10" s="20">
        <v>40193</v>
      </c>
      <c r="E10" s="20"/>
      <c r="F10" s="7">
        <f t="shared" si="195"/>
        <v>34</v>
      </c>
      <c r="G10" s="8">
        <f t="shared" ca="1" si="196"/>
        <v>2049</v>
      </c>
      <c r="H10" s="8">
        <f t="shared" ca="1" si="197"/>
        <v>0</v>
      </c>
      <c r="I10" s="7">
        <f t="shared" si="198"/>
        <v>0</v>
      </c>
      <c r="J10" s="9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10"/>
      <c r="NJ10" s="17"/>
    </row>
    <row r="11" spans="1:374" hidden="1">
      <c r="A11" s="18">
        <v>1.5</v>
      </c>
      <c r="B11" s="19" t="s">
        <v>26</v>
      </c>
      <c r="C11" s="20">
        <v>40168</v>
      </c>
      <c r="D11" s="20">
        <v>40193</v>
      </c>
      <c r="E11" s="20"/>
      <c r="F11" s="7">
        <f t="shared" si="195"/>
        <v>20</v>
      </c>
      <c r="G11" s="8">
        <f t="shared" ca="1" si="196"/>
        <v>2035</v>
      </c>
      <c r="H11" s="8">
        <f t="shared" ca="1" si="197"/>
        <v>0</v>
      </c>
      <c r="I11" s="7">
        <f t="shared" si="198"/>
        <v>0</v>
      </c>
      <c r="J11" s="9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  <c r="FS11" s="6"/>
      <c r="FT11" s="6"/>
      <c r="FU11" s="6"/>
      <c r="FV11" s="6"/>
      <c r="FW11" s="6"/>
      <c r="FX11" s="6"/>
      <c r="FY11" s="6"/>
      <c r="FZ11" s="6"/>
      <c r="GA11" s="6"/>
      <c r="GB11" s="6"/>
      <c r="GC11" s="6"/>
      <c r="GD11" s="6"/>
      <c r="GE11" s="6"/>
      <c r="GF11" s="6"/>
      <c r="GG11" s="6"/>
      <c r="GH11" s="6"/>
      <c r="GI11" s="6"/>
      <c r="GJ11" s="6"/>
      <c r="GK11" s="6"/>
      <c r="GL11" s="6"/>
      <c r="GM11" s="6"/>
      <c r="GN11" s="6"/>
      <c r="GO11" s="6"/>
      <c r="GP11" s="6"/>
      <c r="GQ11" s="6"/>
      <c r="GR11" s="6"/>
      <c r="GS11" s="6"/>
      <c r="GT11" s="6"/>
      <c r="GU11" s="6"/>
      <c r="GV11" s="6"/>
      <c r="GW11" s="6"/>
      <c r="GX11" s="6"/>
      <c r="GY11" s="6"/>
      <c r="GZ11" s="6"/>
      <c r="HA11" s="6"/>
      <c r="HB11" s="6"/>
      <c r="HC11" s="6"/>
      <c r="HD11" s="6"/>
      <c r="HE11" s="6"/>
      <c r="HF11" s="6"/>
      <c r="HG11" s="6"/>
      <c r="HH11" s="6"/>
      <c r="HI11" s="6"/>
      <c r="HJ11" s="6"/>
      <c r="HK11" s="6"/>
      <c r="HL11" s="6"/>
      <c r="HM11" s="6"/>
      <c r="HN11" s="6"/>
      <c r="HO11" s="6"/>
      <c r="HP11" s="6"/>
      <c r="HQ11" s="6"/>
      <c r="HR11" s="6"/>
      <c r="HS11" s="6"/>
      <c r="HT11" s="6"/>
      <c r="HU11" s="6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  <c r="IG11" s="6"/>
      <c r="IH11" s="6"/>
      <c r="II11" s="6"/>
      <c r="IJ11" s="6"/>
      <c r="IK11" s="6"/>
      <c r="IL11" s="6"/>
      <c r="IM11" s="6"/>
      <c r="IN11" s="6"/>
      <c r="IO11" s="6"/>
      <c r="IP11" s="6"/>
      <c r="IQ11" s="6"/>
      <c r="IR11" s="6"/>
      <c r="IS11" s="6"/>
      <c r="IT11" s="6"/>
      <c r="IU11" s="6"/>
      <c r="IV11" s="6"/>
      <c r="IW11" s="6"/>
      <c r="IX11" s="6"/>
      <c r="IY11" s="6"/>
      <c r="IZ11" s="6"/>
      <c r="JA11" s="6"/>
      <c r="JB11" s="6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10"/>
      <c r="NJ11" s="17"/>
    </row>
    <row r="12" spans="1:374" hidden="1">
      <c r="A12" s="18">
        <v>1.6</v>
      </c>
      <c r="B12" s="19" t="s">
        <v>27</v>
      </c>
      <c r="C12" s="20">
        <v>40182</v>
      </c>
      <c r="D12" s="20">
        <v>40207</v>
      </c>
      <c r="E12" s="20"/>
      <c r="F12" s="7">
        <f t="shared" si="195"/>
        <v>20</v>
      </c>
      <c r="G12" s="8">
        <f t="shared" ca="1" si="196"/>
        <v>2025</v>
      </c>
      <c r="H12" s="8">
        <f t="shared" ca="1" si="197"/>
        <v>0</v>
      </c>
      <c r="I12" s="7">
        <f t="shared" si="198"/>
        <v>0</v>
      </c>
      <c r="J12" s="9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  <c r="FS12" s="6"/>
      <c r="FT12" s="6"/>
      <c r="FU12" s="6"/>
      <c r="FV12" s="6"/>
      <c r="FW12" s="6"/>
      <c r="FX12" s="6"/>
      <c r="FY12" s="6"/>
      <c r="FZ12" s="6"/>
      <c r="GA12" s="6"/>
      <c r="GB12" s="6"/>
      <c r="GC12" s="6"/>
      <c r="GD12" s="6"/>
      <c r="GE12" s="6"/>
      <c r="GF12" s="6"/>
      <c r="GG12" s="6"/>
      <c r="GH12" s="6"/>
      <c r="GI12" s="6"/>
      <c r="GJ12" s="6"/>
      <c r="GK12" s="6"/>
      <c r="GL12" s="6"/>
      <c r="GM12" s="6"/>
      <c r="GN12" s="6"/>
      <c r="GO12" s="6"/>
      <c r="GP12" s="6"/>
      <c r="GQ12" s="6"/>
      <c r="GR12" s="6"/>
      <c r="GS12" s="6"/>
      <c r="GT12" s="6"/>
      <c r="GU12" s="6"/>
      <c r="GV12" s="6"/>
      <c r="GW12" s="6"/>
      <c r="GX12" s="6"/>
      <c r="GY12" s="6"/>
      <c r="GZ12" s="6"/>
      <c r="HA12" s="6"/>
      <c r="HB12" s="6"/>
      <c r="HC12" s="6"/>
      <c r="HD12" s="6"/>
      <c r="HE12" s="6"/>
      <c r="HF12" s="6"/>
      <c r="HG12" s="6"/>
      <c r="HH12" s="6"/>
      <c r="HI12" s="6"/>
      <c r="HJ12" s="6"/>
      <c r="HK12" s="6"/>
      <c r="HL12" s="6"/>
      <c r="HM12" s="6"/>
      <c r="HN12" s="6"/>
      <c r="HO12" s="6"/>
      <c r="HP12" s="6"/>
      <c r="HQ12" s="6"/>
      <c r="HR12" s="6"/>
      <c r="HS12" s="6"/>
      <c r="HT12" s="6"/>
      <c r="HU12" s="6"/>
      <c r="HV12" s="6"/>
      <c r="HW12" s="6"/>
      <c r="HX12" s="6"/>
      <c r="HY12" s="6"/>
      <c r="HZ12" s="6"/>
      <c r="IA12" s="6"/>
      <c r="IB12" s="6"/>
      <c r="IC12" s="6"/>
      <c r="ID12" s="6"/>
      <c r="IE12" s="6"/>
      <c r="IF12" s="6"/>
      <c r="IG12" s="6"/>
      <c r="IH12" s="6"/>
      <c r="II12" s="6"/>
      <c r="IJ12" s="6"/>
      <c r="IK12" s="6"/>
      <c r="IL12" s="6"/>
      <c r="IM12" s="6"/>
      <c r="IN12" s="6"/>
      <c r="IO12" s="6"/>
      <c r="IP12" s="6"/>
      <c r="IQ12" s="6"/>
      <c r="IR12" s="6"/>
      <c r="IS12" s="6"/>
      <c r="IT12" s="6"/>
      <c r="IU12" s="6"/>
      <c r="IV12" s="6"/>
      <c r="IW12" s="6"/>
      <c r="IX12" s="6"/>
      <c r="IY12" s="6"/>
      <c r="IZ12" s="6"/>
      <c r="JA12" s="6"/>
      <c r="JB12" s="6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10"/>
      <c r="NJ12" s="17"/>
    </row>
    <row r="13" spans="1:374">
      <c r="A13" s="18">
        <v>2</v>
      </c>
      <c r="B13" s="19" t="s">
        <v>30</v>
      </c>
      <c r="C13" s="20">
        <v>43020</v>
      </c>
      <c r="D13" s="20">
        <f>MAX(D14:D17)</f>
        <v>43129</v>
      </c>
      <c r="E13" s="20"/>
      <c r="F13" s="7">
        <f t="shared" si="195"/>
        <v>78</v>
      </c>
      <c r="G13" s="8">
        <f t="shared" ca="1" si="196"/>
        <v>0</v>
      </c>
      <c r="H13" s="8">
        <f t="shared" ca="1" si="197"/>
        <v>78</v>
      </c>
      <c r="I13" s="7">
        <f t="shared" si="198"/>
        <v>0</v>
      </c>
      <c r="J13" s="9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  <c r="FS13" s="6"/>
      <c r="FT13" s="6"/>
      <c r="FU13" s="6"/>
      <c r="FV13" s="6"/>
      <c r="FW13" s="6"/>
      <c r="FX13" s="6"/>
      <c r="FY13" s="6"/>
      <c r="FZ13" s="6"/>
      <c r="GA13" s="6"/>
      <c r="GB13" s="6"/>
      <c r="GC13" s="6"/>
      <c r="GD13" s="6"/>
      <c r="GE13" s="6"/>
      <c r="GF13" s="6"/>
      <c r="GG13" s="6"/>
      <c r="GH13" s="6"/>
      <c r="GI13" s="6"/>
      <c r="GJ13" s="6"/>
      <c r="GK13" s="6"/>
      <c r="GL13" s="6"/>
      <c r="GM13" s="6"/>
      <c r="GN13" s="6"/>
      <c r="GO13" s="6"/>
      <c r="GP13" s="6"/>
      <c r="GQ13" s="6"/>
      <c r="GR13" s="6"/>
      <c r="GS13" s="6"/>
      <c r="GT13" s="6"/>
      <c r="GU13" s="6"/>
      <c r="GV13" s="6"/>
      <c r="GW13" s="6"/>
      <c r="GX13" s="6"/>
      <c r="GY13" s="6"/>
      <c r="GZ13" s="6"/>
      <c r="HA13" s="6"/>
      <c r="HB13" s="6"/>
      <c r="HC13" s="6"/>
      <c r="HD13" s="6"/>
      <c r="HE13" s="6"/>
      <c r="HF13" s="6"/>
      <c r="HG13" s="6"/>
      <c r="HH13" s="6"/>
      <c r="HI13" s="6"/>
      <c r="HJ13" s="6"/>
      <c r="HK13" s="6"/>
      <c r="HL13" s="6"/>
      <c r="HM13" s="6"/>
      <c r="HN13" s="6"/>
      <c r="HO13" s="6"/>
      <c r="HP13" s="6"/>
      <c r="HQ13" s="6"/>
      <c r="HR13" s="6"/>
      <c r="HS13" s="6"/>
      <c r="HT13" s="6"/>
      <c r="HU13" s="6"/>
      <c r="HV13" s="6"/>
      <c r="HW13" s="6"/>
      <c r="HX13" s="6"/>
      <c r="HY13" s="6"/>
      <c r="HZ13" s="6"/>
      <c r="IA13" s="6"/>
      <c r="IB13" s="6"/>
      <c r="IC13" s="6"/>
      <c r="ID13" s="6"/>
      <c r="IE13" s="6"/>
      <c r="IF13" s="6"/>
      <c r="IG13" s="6"/>
      <c r="IH13" s="6"/>
      <c r="II13" s="6"/>
      <c r="IJ13" s="6"/>
      <c r="IK13" s="6"/>
      <c r="IL13" s="6"/>
      <c r="IM13" s="6"/>
      <c r="IN13" s="6"/>
      <c r="IO13" s="6"/>
      <c r="IP13" s="6"/>
      <c r="IQ13" s="6"/>
      <c r="IR13" s="6"/>
      <c r="IS13" s="6"/>
      <c r="IT13" s="6"/>
      <c r="IU13" s="6"/>
      <c r="IV13" s="6"/>
      <c r="IW13" s="6"/>
      <c r="IX13" s="6"/>
      <c r="IY13" s="6"/>
      <c r="IZ13" s="6"/>
      <c r="JA13" s="6"/>
      <c r="JB13" s="6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10"/>
      <c r="NJ13" s="17"/>
    </row>
    <row r="14" spans="1:374">
      <c r="A14" s="18">
        <v>2.1</v>
      </c>
      <c r="B14" s="19" t="s">
        <v>33</v>
      </c>
      <c r="C14" s="20">
        <v>43020</v>
      </c>
      <c r="D14" s="20">
        <v>43034</v>
      </c>
      <c r="E14" s="20"/>
      <c r="F14" s="7">
        <f t="shared" si="195"/>
        <v>11</v>
      </c>
      <c r="G14" s="8">
        <f t="shared" ca="1" si="196"/>
        <v>0</v>
      </c>
      <c r="H14" s="8">
        <f t="shared" ca="1" si="197"/>
        <v>11</v>
      </c>
      <c r="I14" s="7">
        <f t="shared" si="198"/>
        <v>0</v>
      </c>
      <c r="J14" s="9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  <c r="FS14" s="6"/>
      <c r="FT14" s="6"/>
      <c r="FU14" s="6"/>
      <c r="FV14" s="6"/>
      <c r="FW14" s="6"/>
      <c r="FX14" s="6"/>
      <c r="FY14" s="6"/>
      <c r="FZ14" s="6"/>
      <c r="GA14" s="6"/>
      <c r="GB14" s="6"/>
      <c r="GC14" s="6"/>
      <c r="GD14" s="6"/>
      <c r="GE14" s="6"/>
      <c r="GF14" s="6"/>
      <c r="GG14" s="6"/>
      <c r="GH14" s="6"/>
      <c r="GI14" s="6"/>
      <c r="GJ14" s="6"/>
      <c r="GK14" s="6"/>
      <c r="GL14" s="6"/>
      <c r="GM14" s="6"/>
      <c r="GN14" s="6"/>
      <c r="GO14" s="6"/>
      <c r="GP14" s="6"/>
      <c r="GQ14" s="6"/>
      <c r="GR14" s="6"/>
      <c r="GS14" s="6"/>
      <c r="GT14" s="6"/>
      <c r="GU14" s="6"/>
      <c r="GV14" s="6"/>
      <c r="GW14" s="6"/>
      <c r="GX14" s="6"/>
      <c r="GY14" s="6"/>
      <c r="GZ14" s="6"/>
      <c r="HA14" s="6"/>
      <c r="HB14" s="6"/>
      <c r="HC14" s="6"/>
      <c r="HD14" s="6"/>
      <c r="HE14" s="6"/>
      <c r="HF14" s="6"/>
      <c r="HG14" s="6"/>
      <c r="HH14" s="6"/>
      <c r="HI14" s="6"/>
      <c r="HJ14" s="6"/>
      <c r="HK14" s="6"/>
      <c r="HL14" s="6"/>
      <c r="HM14" s="6"/>
      <c r="HN14" s="6"/>
      <c r="HO14" s="6"/>
      <c r="HP14" s="6"/>
      <c r="HQ14" s="6"/>
      <c r="HR14" s="6"/>
      <c r="HS14" s="6"/>
      <c r="HT14" s="6"/>
      <c r="HU14" s="6"/>
      <c r="HV14" s="6"/>
      <c r="HW14" s="6"/>
      <c r="HX14" s="6"/>
      <c r="HY14" s="6"/>
      <c r="HZ14" s="6"/>
      <c r="IA14" s="6"/>
      <c r="IB14" s="6"/>
      <c r="IC14" s="6"/>
      <c r="ID14" s="6"/>
      <c r="IE14" s="6"/>
      <c r="IF14" s="6"/>
      <c r="IG14" s="6"/>
      <c r="IH14" s="6"/>
      <c r="II14" s="6"/>
      <c r="IJ14" s="6"/>
      <c r="IK14" s="6"/>
      <c r="IL14" s="6"/>
      <c r="IM14" s="6"/>
      <c r="IN14" s="6"/>
      <c r="IO14" s="6"/>
      <c r="IP14" s="6"/>
      <c r="IQ14" s="6"/>
      <c r="IR14" s="6"/>
      <c r="IS14" s="6"/>
      <c r="IT14" s="6"/>
      <c r="IU14" s="6"/>
      <c r="IV14" s="6"/>
      <c r="IW14" s="6"/>
      <c r="IX14" s="6"/>
      <c r="IY14" s="6"/>
      <c r="IZ14" s="6"/>
      <c r="JA14" s="6"/>
      <c r="JB14" s="6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10"/>
      <c r="NJ14" s="17"/>
    </row>
    <row r="15" spans="1:374">
      <c r="A15" s="18">
        <v>2.2000000000000002</v>
      </c>
      <c r="B15" s="19" t="s">
        <v>34</v>
      </c>
      <c r="C15" s="20">
        <v>43020</v>
      </c>
      <c r="D15" s="20">
        <v>43034</v>
      </c>
      <c r="E15" s="20"/>
      <c r="F15" s="7">
        <f t="shared" si="195"/>
        <v>11</v>
      </c>
      <c r="G15" s="8">
        <f t="shared" ca="1" si="196"/>
        <v>0</v>
      </c>
      <c r="H15" s="8">
        <f t="shared" ca="1" si="197"/>
        <v>11</v>
      </c>
      <c r="I15" s="7">
        <f t="shared" si="198"/>
        <v>0</v>
      </c>
      <c r="J15" s="9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  <c r="GS15" s="6"/>
      <c r="GT15" s="6"/>
      <c r="GU15" s="6"/>
      <c r="GV15" s="6"/>
      <c r="GW15" s="6"/>
      <c r="GX15" s="6"/>
      <c r="GY15" s="6"/>
      <c r="GZ15" s="6"/>
      <c r="HA15" s="6"/>
      <c r="HB15" s="6"/>
      <c r="HC15" s="6"/>
      <c r="HD15" s="6"/>
      <c r="HE15" s="6"/>
      <c r="HF15" s="6"/>
      <c r="HG15" s="6"/>
      <c r="HH15" s="6"/>
      <c r="HI15" s="6"/>
      <c r="HJ15" s="6"/>
      <c r="HK15" s="6"/>
      <c r="HL15" s="6"/>
      <c r="HM15" s="6"/>
      <c r="HN15" s="6"/>
      <c r="HO15" s="6"/>
      <c r="HP15" s="6"/>
      <c r="HQ15" s="6"/>
      <c r="HR15" s="6"/>
      <c r="HS15" s="6"/>
      <c r="HT15" s="6"/>
      <c r="HU15" s="6"/>
      <c r="HV15" s="6"/>
      <c r="HW15" s="6"/>
      <c r="HX15" s="6"/>
      <c r="HY15" s="6"/>
      <c r="HZ15" s="6"/>
      <c r="IA15" s="6"/>
      <c r="IB15" s="6"/>
      <c r="IC15" s="6"/>
      <c r="ID15" s="6"/>
      <c r="IE15" s="6"/>
      <c r="IF15" s="6"/>
      <c r="IG15" s="6"/>
      <c r="IH15" s="6"/>
      <c r="II15" s="6"/>
      <c r="IJ15" s="6"/>
      <c r="IK15" s="6"/>
      <c r="IL15" s="6"/>
      <c r="IM15" s="6"/>
      <c r="IN15" s="6"/>
      <c r="IO15" s="6"/>
      <c r="IP15" s="6"/>
      <c r="IQ15" s="6"/>
      <c r="IR15" s="6"/>
      <c r="IS15" s="6"/>
      <c r="IT15" s="6"/>
      <c r="IU15" s="6"/>
      <c r="IV15" s="6"/>
      <c r="IW15" s="6"/>
      <c r="IX15" s="6"/>
      <c r="IY15" s="6"/>
      <c r="IZ15" s="6"/>
      <c r="JA15" s="6"/>
      <c r="JB15" s="6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10"/>
      <c r="NJ15" s="17"/>
    </row>
    <row r="16" spans="1:374">
      <c r="A16" s="18">
        <v>2.2999999999999998</v>
      </c>
      <c r="B16" s="19" t="s">
        <v>31</v>
      </c>
      <c r="C16" s="20">
        <v>43020</v>
      </c>
      <c r="D16" s="20">
        <v>43034</v>
      </c>
      <c r="E16" s="20"/>
      <c r="F16" s="7">
        <f t="shared" si="195"/>
        <v>11</v>
      </c>
      <c r="G16" s="8">
        <f t="shared" ca="1" si="196"/>
        <v>0</v>
      </c>
      <c r="H16" s="8">
        <f t="shared" ca="1" si="197"/>
        <v>11</v>
      </c>
      <c r="I16" s="7">
        <f t="shared" si="198"/>
        <v>0</v>
      </c>
      <c r="J16" s="9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  <c r="FS16" s="6"/>
      <c r="FT16" s="6"/>
      <c r="FU16" s="6"/>
      <c r="FV16" s="6"/>
      <c r="FW16" s="6"/>
      <c r="FX16" s="6"/>
      <c r="FY16" s="6"/>
      <c r="FZ16" s="6"/>
      <c r="GA16" s="6"/>
      <c r="GB16" s="6"/>
      <c r="GC16" s="6"/>
      <c r="GD16" s="6"/>
      <c r="GE16" s="6"/>
      <c r="GF16" s="6"/>
      <c r="GG16" s="6"/>
      <c r="GH16" s="6"/>
      <c r="GI16" s="6"/>
      <c r="GJ16" s="6"/>
      <c r="GK16" s="6"/>
      <c r="GL16" s="6"/>
      <c r="GM16" s="6"/>
      <c r="GN16" s="6"/>
      <c r="GO16" s="6"/>
      <c r="GP16" s="6"/>
      <c r="GQ16" s="6"/>
      <c r="GR16" s="6"/>
      <c r="GS16" s="6"/>
      <c r="GT16" s="6"/>
      <c r="GU16" s="6"/>
      <c r="GV16" s="6"/>
      <c r="GW16" s="6"/>
      <c r="GX16" s="6"/>
      <c r="GY16" s="6"/>
      <c r="GZ16" s="6"/>
      <c r="HA16" s="6"/>
      <c r="HB16" s="6"/>
      <c r="HC16" s="6"/>
      <c r="HD16" s="6"/>
      <c r="HE16" s="6"/>
      <c r="HF16" s="6"/>
      <c r="HG16" s="6"/>
      <c r="HH16" s="6"/>
      <c r="HI16" s="6"/>
      <c r="HJ16" s="6"/>
      <c r="HK16" s="6"/>
      <c r="HL16" s="6"/>
      <c r="HM16" s="6"/>
      <c r="HN16" s="6"/>
      <c r="HO16" s="6"/>
      <c r="HP16" s="6"/>
      <c r="HQ16" s="6"/>
      <c r="HR16" s="6"/>
      <c r="HS16" s="6"/>
      <c r="HT16" s="6"/>
      <c r="HU16" s="6"/>
      <c r="HV16" s="6"/>
      <c r="HW16" s="6"/>
      <c r="HX16" s="6"/>
      <c r="HY16" s="6"/>
      <c r="HZ16" s="6"/>
      <c r="IA16" s="6"/>
      <c r="IB16" s="6"/>
      <c r="IC16" s="6"/>
      <c r="ID16" s="6"/>
      <c r="IE16" s="6"/>
      <c r="IF16" s="6"/>
      <c r="IG16" s="6"/>
      <c r="IH16" s="6"/>
      <c r="II16" s="6"/>
      <c r="IJ16" s="6"/>
      <c r="IK16" s="6"/>
      <c r="IL16" s="6"/>
      <c r="IM16" s="6"/>
      <c r="IN16" s="6"/>
      <c r="IO16" s="6"/>
      <c r="IP16" s="6"/>
      <c r="IQ16" s="6"/>
      <c r="IR16" s="6"/>
      <c r="IS16" s="6"/>
      <c r="IT16" s="6"/>
      <c r="IU16" s="6"/>
      <c r="IV16" s="6"/>
      <c r="IW16" s="6"/>
      <c r="IX16" s="6"/>
      <c r="IY16" s="6"/>
      <c r="IZ16" s="6"/>
      <c r="JA16" s="6"/>
      <c r="JB16" s="6"/>
      <c r="JC16" s="6"/>
      <c r="JD16" s="6"/>
      <c r="JE16" s="6"/>
      <c r="JF16" s="6"/>
      <c r="JG16" s="6"/>
      <c r="JH16" s="6"/>
      <c r="JI16" s="6"/>
      <c r="JJ16" s="6"/>
      <c r="JK16" s="6"/>
      <c r="JL16" s="6"/>
      <c r="JM16" s="6"/>
      <c r="JN16" s="6"/>
      <c r="JO16" s="6"/>
      <c r="JP16" s="6"/>
      <c r="JQ16" s="6"/>
      <c r="JR16" s="6"/>
      <c r="JS16" s="6"/>
      <c r="JT16" s="6"/>
      <c r="JU16" s="6"/>
      <c r="JV16" s="6"/>
      <c r="JW16" s="6"/>
      <c r="JX16" s="6"/>
      <c r="JY16" s="6"/>
      <c r="JZ16" s="6"/>
      <c r="KA16" s="6"/>
      <c r="KB16" s="6"/>
      <c r="KC16" s="6"/>
      <c r="KD16" s="6"/>
      <c r="KE16" s="6"/>
      <c r="KF16" s="6"/>
      <c r="KG16" s="6"/>
      <c r="KH16" s="6"/>
      <c r="KI16" s="6"/>
      <c r="KJ16" s="6"/>
      <c r="KK16" s="6"/>
      <c r="KL16" s="6"/>
      <c r="KM16" s="6"/>
      <c r="KN16" s="6"/>
      <c r="KO16" s="6"/>
      <c r="KP16" s="6"/>
      <c r="KQ16" s="6"/>
      <c r="KR16" s="6"/>
      <c r="KS16" s="6"/>
      <c r="KT16" s="6"/>
      <c r="KU16" s="6"/>
      <c r="KV16" s="6"/>
      <c r="KW16" s="6"/>
      <c r="KX16" s="6"/>
      <c r="KY16" s="6"/>
      <c r="KZ16" s="6"/>
      <c r="LA16" s="6"/>
      <c r="LB16" s="6"/>
      <c r="LC16" s="6"/>
      <c r="LD16" s="6"/>
      <c r="LE16" s="6"/>
      <c r="LF16" s="6"/>
      <c r="LG16" s="6"/>
      <c r="LH16" s="6"/>
      <c r="LI16" s="6"/>
      <c r="LJ16" s="6"/>
      <c r="LK16" s="6"/>
      <c r="LL16" s="6"/>
      <c r="LM16" s="6"/>
      <c r="LN16" s="6"/>
      <c r="LO16" s="6"/>
      <c r="LP16" s="6"/>
      <c r="LQ16" s="6"/>
      <c r="LR16" s="6"/>
      <c r="LS16" s="6"/>
      <c r="LT16" s="6"/>
      <c r="LU16" s="6"/>
      <c r="LV16" s="6"/>
      <c r="LW16" s="6"/>
      <c r="LX16" s="6"/>
      <c r="LY16" s="6"/>
      <c r="LZ16" s="6"/>
      <c r="MA16" s="6"/>
      <c r="MB16" s="6"/>
      <c r="MC16" s="6"/>
      <c r="MD16" s="6"/>
      <c r="ME16" s="6"/>
      <c r="MF16" s="6"/>
      <c r="MG16" s="6"/>
      <c r="MH16" s="6"/>
      <c r="MI16" s="6"/>
      <c r="MJ16" s="6"/>
      <c r="MK16" s="6"/>
      <c r="ML16" s="6"/>
      <c r="MM16" s="6"/>
      <c r="MN16" s="6"/>
      <c r="MO16" s="6"/>
      <c r="MP16" s="6"/>
      <c r="MQ16" s="6"/>
      <c r="MR16" s="6"/>
      <c r="MS16" s="6"/>
      <c r="MT16" s="6"/>
      <c r="MU16" s="6"/>
      <c r="MV16" s="6"/>
      <c r="MW16" s="6"/>
      <c r="MX16" s="6"/>
      <c r="MY16" s="6"/>
      <c r="MZ16" s="6"/>
      <c r="NA16" s="6"/>
      <c r="NB16" s="6"/>
      <c r="NC16" s="6"/>
      <c r="ND16" s="6"/>
      <c r="NE16" s="6"/>
      <c r="NF16" s="6"/>
      <c r="NG16" s="6"/>
      <c r="NH16" s="6"/>
      <c r="NI16" s="10"/>
      <c r="NJ16" s="17"/>
    </row>
    <row r="17" spans="1:374">
      <c r="A17" s="18">
        <v>2.4</v>
      </c>
      <c r="B17" s="19" t="s">
        <v>35</v>
      </c>
      <c r="C17" s="20">
        <v>43115</v>
      </c>
      <c r="D17" s="20">
        <v>43129</v>
      </c>
      <c r="E17" s="20"/>
      <c r="F17" s="7">
        <f t="shared" si="195"/>
        <v>11</v>
      </c>
      <c r="G17" s="8">
        <f t="shared" ca="1" si="196"/>
        <v>0</v>
      </c>
      <c r="H17" s="8">
        <f t="shared" ca="1" si="197"/>
        <v>11</v>
      </c>
      <c r="I17" s="7">
        <f t="shared" si="198"/>
        <v>0</v>
      </c>
      <c r="J17" s="9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10"/>
      <c r="NJ17" s="17"/>
    </row>
    <row r="18" spans="1:374">
      <c r="A18" s="18">
        <v>3</v>
      </c>
      <c r="B18" s="19" t="s">
        <v>36</v>
      </c>
      <c r="C18" s="20">
        <v>43019</v>
      </c>
      <c r="D18" s="20">
        <f>MAX(D19:D20)</f>
        <v>43064</v>
      </c>
      <c r="E18" s="20"/>
      <c r="F18" s="7">
        <f t="shared" si="195"/>
        <v>33</v>
      </c>
      <c r="G18" s="8">
        <f t="shared" ca="1" si="196"/>
        <v>0</v>
      </c>
      <c r="H18" s="8">
        <f t="shared" ca="1" si="197"/>
        <v>33</v>
      </c>
      <c r="I18" s="7">
        <f t="shared" si="198"/>
        <v>0</v>
      </c>
      <c r="J18" s="9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  <c r="FS18" s="6"/>
      <c r="FT18" s="6"/>
      <c r="FU18" s="6"/>
      <c r="FV18" s="6"/>
      <c r="FW18" s="6"/>
      <c r="FX18" s="6"/>
      <c r="FY18" s="6"/>
      <c r="FZ18" s="6"/>
      <c r="GA18" s="6"/>
      <c r="GB18" s="6"/>
      <c r="GC18" s="6"/>
      <c r="GD18" s="6"/>
      <c r="GE18" s="6"/>
      <c r="GF18" s="6"/>
      <c r="GG18" s="6"/>
      <c r="GH18" s="6"/>
      <c r="GI18" s="6"/>
      <c r="GJ18" s="6"/>
      <c r="GK18" s="6"/>
      <c r="GL18" s="6"/>
      <c r="GM18" s="6"/>
      <c r="GN18" s="6"/>
      <c r="GO18" s="6"/>
      <c r="GP18" s="6"/>
      <c r="GQ18" s="6"/>
      <c r="GR18" s="6"/>
      <c r="GS18" s="6"/>
      <c r="GT18" s="6"/>
      <c r="GU18" s="6"/>
      <c r="GV18" s="6"/>
      <c r="GW18" s="6"/>
      <c r="GX18" s="6"/>
      <c r="GY18" s="6"/>
      <c r="GZ18" s="6"/>
      <c r="HA18" s="6"/>
      <c r="HB18" s="6"/>
      <c r="HC18" s="6"/>
      <c r="HD18" s="6"/>
      <c r="HE18" s="6"/>
      <c r="HF18" s="6"/>
      <c r="HG18" s="6"/>
      <c r="HH18" s="6"/>
      <c r="HI18" s="6"/>
      <c r="HJ18" s="6"/>
      <c r="HK18" s="6"/>
      <c r="HL18" s="6"/>
      <c r="HM18" s="6"/>
      <c r="HN18" s="6"/>
      <c r="HO18" s="6"/>
      <c r="HP18" s="6"/>
      <c r="HQ18" s="6"/>
      <c r="HR18" s="6"/>
      <c r="HS18" s="6"/>
      <c r="HT18" s="6"/>
      <c r="HU18" s="6"/>
      <c r="HV18" s="6"/>
      <c r="HW18" s="6"/>
      <c r="HX18" s="6"/>
      <c r="HY18" s="6"/>
      <c r="HZ18" s="6"/>
      <c r="IA18" s="6"/>
      <c r="IB18" s="6"/>
      <c r="IC18" s="6"/>
      <c r="ID18" s="6"/>
      <c r="IE18" s="6"/>
      <c r="IF18" s="6"/>
      <c r="IG18" s="6"/>
      <c r="IH18" s="6"/>
      <c r="II18" s="6"/>
      <c r="IJ18" s="6"/>
      <c r="IK18" s="6"/>
      <c r="IL18" s="6"/>
      <c r="IM18" s="6"/>
      <c r="IN18" s="6"/>
      <c r="IO18" s="6"/>
      <c r="IP18" s="6"/>
      <c r="IQ18" s="6"/>
      <c r="IR18" s="6"/>
      <c r="IS18" s="6"/>
      <c r="IT18" s="6"/>
      <c r="IU18" s="6"/>
      <c r="IV18" s="6"/>
      <c r="IW18" s="6"/>
      <c r="IX18" s="6"/>
      <c r="IY18" s="6"/>
      <c r="IZ18" s="6"/>
      <c r="JA18" s="6"/>
      <c r="JB18" s="6"/>
      <c r="JC18" s="6"/>
      <c r="JD18" s="6"/>
      <c r="JE18" s="6"/>
      <c r="JF18" s="6"/>
      <c r="JG18" s="6"/>
      <c r="JH18" s="6"/>
      <c r="JI18" s="6"/>
      <c r="JJ18" s="6"/>
      <c r="JK18" s="6"/>
      <c r="JL18" s="6"/>
      <c r="JM18" s="6"/>
      <c r="JN18" s="6"/>
      <c r="JO18" s="6"/>
      <c r="JP18" s="6"/>
      <c r="JQ18" s="6"/>
      <c r="JR18" s="6"/>
      <c r="JS18" s="6"/>
      <c r="JT18" s="6"/>
      <c r="JU18" s="6"/>
      <c r="JV18" s="6"/>
      <c r="JW18" s="6"/>
      <c r="JX18" s="6"/>
      <c r="JY18" s="6"/>
      <c r="JZ18" s="6"/>
      <c r="KA18" s="6"/>
      <c r="KB18" s="6"/>
      <c r="KC18" s="6"/>
      <c r="KD18" s="6"/>
      <c r="KE18" s="6"/>
      <c r="KF18" s="6"/>
      <c r="KG18" s="6"/>
      <c r="KH18" s="6"/>
      <c r="KI18" s="6"/>
      <c r="KJ18" s="6"/>
      <c r="KK18" s="6"/>
      <c r="KL18" s="6"/>
      <c r="KM18" s="6"/>
      <c r="KN18" s="6"/>
      <c r="KO18" s="6"/>
      <c r="KP18" s="6"/>
      <c r="KQ18" s="6"/>
      <c r="KR18" s="6"/>
      <c r="KS18" s="6"/>
      <c r="KT18" s="6"/>
      <c r="KU18" s="6"/>
      <c r="KV18" s="6"/>
      <c r="KW18" s="6"/>
      <c r="KX18" s="6"/>
      <c r="KY18" s="6"/>
      <c r="KZ18" s="6"/>
      <c r="LA18" s="6"/>
      <c r="LB18" s="6"/>
      <c r="LC18" s="6"/>
      <c r="LD18" s="6"/>
      <c r="LE18" s="6"/>
      <c r="LF18" s="6"/>
      <c r="LG18" s="6"/>
      <c r="LH18" s="6"/>
      <c r="LI18" s="6"/>
      <c r="LJ18" s="6"/>
      <c r="LK18" s="6"/>
      <c r="LL18" s="6"/>
      <c r="LM18" s="6"/>
      <c r="LN18" s="6"/>
      <c r="LO18" s="6"/>
      <c r="LP18" s="6"/>
      <c r="LQ18" s="6"/>
      <c r="LR18" s="6"/>
      <c r="LS18" s="6"/>
      <c r="LT18" s="6"/>
      <c r="LU18" s="6"/>
      <c r="LV18" s="6"/>
      <c r="LW18" s="6"/>
      <c r="LX18" s="6"/>
      <c r="LY18" s="6"/>
      <c r="LZ18" s="6"/>
      <c r="MA18" s="6"/>
      <c r="MB18" s="6"/>
      <c r="MC18" s="6"/>
      <c r="MD18" s="6"/>
      <c r="ME18" s="6"/>
      <c r="MF18" s="6"/>
      <c r="MG18" s="6"/>
      <c r="MH18" s="6"/>
      <c r="MI18" s="6"/>
      <c r="MJ18" s="6"/>
      <c r="MK18" s="6"/>
      <c r="ML18" s="6"/>
      <c r="MM18" s="6"/>
      <c r="MN18" s="6"/>
      <c r="MO18" s="6"/>
      <c r="MP18" s="6"/>
      <c r="MQ18" s="6"/>
      <c r="MR18" s="6"/>
      <c r="MS18" s="6"/>
      <c r="MT18" s="6"/>
      <c r="MU18" s="6"/>
      <c r="MV18" s="6"/>
      <c r="MW18" s="6"/>
      <c r="MX18" s="6"/>
      <c r="MY18" s="6"/>
      <c r="MZ18" s="6"/>
      <c r="NA18" s="6"/>
      <c r="NB18" s="6"/>
      <c r="NC18" s="6"/>
      <c r="ND18" s="6"/>
      <c r="NE18" s="6"/>
      <c r="NF18" s="6"/>
      <c r="NG18" s="6"/>
      <c r="NH18" s="6"/>
      <c r="NI18" s="10"/>
      <c r="NJ18" s="17"/>
    </row>
    <row r="19" spans="1:374">
      <c r="A19" s="18">
        <v>3.1</v>
      </c>
      <c r="B19" s="19" t="s">
        <v>37</v>
      </c>
      <c r="C19" s="20">
        <v>43019</v>
      </c>
      <c r="D19" s="20">
        <v>43028</v>
      </c>
      <c r="E19" s="20"/>
      <c r="F19" s="7">
        <f t="shared" si="195"/>
        <v>8</v>
      </c>
      <c r="G19" s="8">
        <f t="shared" ca="1" si="196"/>
        <v>0</v>
      </c>
      <c r="H19" s="8">
        <f t="shared" ca="1" si="197"/>
        <v>8</v>
      </c>
      <c r="I19" s="7">
        <f t="shared" si="198"/>
        <v>0</v>
      </c>
      <c r="J19" s="9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  <c r="FZ19" s="6"/>
      <c r="GA19" s="6"/>
      <c r="GB19" s="6"/>
      <c r="GC19" s="6"/>
      <c r="GD19" s="6"/>
      <c r="GE19" s="6"/>
      <c r="GF19" s="6"/>
      <c r="GG19" s="6"/>
      <c r="GH19" s="6"/>
      <c r="GI19" s="6"/>
      <c r="GJ19" s="6"/>
      <c r="GK19" s="6"/>
      <c r="GL19" s="6"/>
      <c r="GM19" s="6"/>
      <c r="GN19" s="6"/>
      <c r="GO19" s="6"/>
      <c r="GP19" s="6"/>
      <c r="GQ19" s="6"/>
      <c r="GR19" s="6"/>
      <c r="GS19" s="6"/>
      <c r="GT19" s="6"/>
      <c r="GU19" s="6"/>
      <c r="GV19" s="6"/>
      <c r="GW19" s="6"/>
      <c r="GX19" s="6"/>
      <c r="GY19" s="6"/>
      <c r="GZ19" s="6"/>
      <c r="HA19" s="6"/>
      <c r="HB19" s="6"/>
      <c r="HC19" s="6"/>
      <c r="HD19" s="6"/>
      <c r="HE19" s="6"/>
      <c r="HF19" s="6"/>
      <c r="HG19" s="6"/>
      <c r="HH19" s="6"/>
      <c r="HI19" s="6"/>
      <c r="HJ19" s="6"/>
      <c r="HK19" s="6"/>
      <c r="HL19" s="6"/>
      <c r="HM19" s="6"/>
      <c r="HN19" s="6"/>
      <c r="HO19" s="6"/>
      <c r="HP19" s="6"/>
      <c r="HQ19" s="6"/>
      <c r="HR19" s="6"/>
      <c r="HS19" s="6"/>
      <c r="HT19" s="6"/>
      <c r="HU19" s="6"/>
      <c r="HV19" s="6"/>
      <c r="HW19" s="6"/>
      <c r="HX19" s="6"/>
      <c r="HY19" s="6"/>
      <c r="HZ19" s="6"/>
      <c r="IA19" s="6"/>
      <c r="IB19" s="6"/>
      <c r="IC19" s="6"/>
      <c r="ID19" s="6"/>
      <c r="IE19" s="6"/>
      <c r="IF19" s="6"/>
      <c r="IG19" s="6"/>
      <c r="IH19" s="6"/>
      <c r="II19" s="6"/>
      <c r="IJ19" s="6"/>
      <c r="IK19" s="6"/>
      <c r="IL19" s="6"/>
      <c r="IM19" s="6"/>
      <c r="IN19" s="6"/>
      <c r="IO19" s="6"/>
      <c r="IP19" s="6"/>
      <c r="IQ19" s="6"/>
      <c r="IR19" s="6"/>
      <c r="IS19" s="6"/>
      <c r="IT19" s="6"/>
      <c r="IU19" s="6"/>
      <c r="IV19" s="6"/>
      <c r="IW19" s="6"/>
      <c r="IX19" s="6"/>
      <c r="IY19" s="6"/>
      <c r="IZ19" s="6"/>
      <c r="JA19" s="6"/>
      <c r="JB19" s="6"/>
      <c r="JC19" s="6"/>
      <c r="JD19" s="6"/>
      <c r="JE19" s="6"/>
      <c r="JF19" s="6"/>
      <c r="JG19" s="6"/>
      <c r="JH19" s="6"/>
      <c r="JI19" s="6"/>
      <c r="JJ19" s="6"/>
      <c r="JK19" s="6"/>
      <c r="JL19" s="6"/>
      <c r="JM19" s="6"/>
      <c r="JN19" s="6"/>
      <c r="JO19" s="6"/>
      <c r="JP19" s="6"/>
      <c r="JQ19" s="6"/>
      <c r="JR19" s="6"/>
      <c r="JS19" s="6"/>
      <c r="JT19" s="6"/>
      <c r="JU19" s="6"/>
      <c r="JV19" s="6"/>
      <c r="JW19" s="6"/>
      <c r="JX19" s="6"/>
      <c r="JY19" s="6"/>
      <c r="JZ19" s="6"/>
      <c r="KA19" s="6"/>
      <c r="KB19" s="6"/>
      <c r="KC19" s="6"/>
      <c r="KD19" s="6"/>
      <c r="KE19" s="6"/>
      <c r="KF19" s="6"/>
      <c r="KG19" s="6"/>
      <c r="KH19" s="6"/>
      <c r="KI19" s="6"/>
      <c r="KJ19" s="6"/>
      <c r="KK19" s="6"/>
      <c r="KL19" s="6"/>
      <c r="KM19" s="6"/>
      <c r="KN19" s="6"/>
      <c r="KO19" s="6"/>
      <c r="KP19" s="6"/>
      <c r="KQ19" s="6"/>
      <c r="KR19" s="6"/>
      <c r="KS19" s="6"/>
      <c r="KT19" s="6"/>
      <c r="KU19" s="6"/>
      <c r="KV19" s="6"/>
      <c r="KW19" s="6"/>
      <c r="KX19" s="6"/>
      <c r="KY19" s="6"/>
      <c r="KZ19" s="6"/>
      <c r="LA19" s="6"/>
      <c r="LB19" s="6"/>
      <c r="LC19" s="6"/>
      <c r="LD19" s="6"/>
      <c r="LE19" s="6"/>
      <c r="LF19" s="6"/>
      <c r="LG19" s="6"/>
      <c r="LH19" s="6"/>
      <c r="LI19" s="6"/>
      <c r="LJ19" s="6"/>
      <c r="LK19" s="6"/>
      <c r="LL19" s="6"/>
      <c r="LM19" s="6"/>
      <c r="LN19" s="6"/>
      <c r="LO19" s="6"/>
      <c r="LP19" s="6"/>
      <c r="LQ19" s="6"/>
      <c r="LR19" s="6"/>
      <c r="LS19" s="6"/>
      <c r="LT19" s="6"/>
      <c r="LU19" s="6"/>
      <c r="LV19" s="6"/>
      <c r="LW19" s="6"/>
      <c r="LX19" s="6"/>
      <c r="LY19" s="6"/>
      <c r="LZ19" s="6"/>
      <c r="MA19" s="6"/>
      <c r="MB19" s="6"/>
      <c r="MC19" s="6"/>
      <c r="MD19" s="6"/>
      <c r="ME19" s="6"/>
      <c r="MF19" s="6"/>
      <c r="MG19" s="6"/>
      <c r="MH19" s="6"/>
      <c r="MI19" s="6"/>
      <c r="MJ19" s="6"/>
      <c r="MK19" s="6"/>
      <c r="ML19" s="6"/>
      <c r="MM19" s="6"/>
      <c r="MN19" s="6"/>
      <c r="MO19" s="6"/>
      <c r="MP19" s="6"/>
      <c r="MQ19" s="6"/>
      <c r="MR19" s="6"/>
      <c r="MS19" s="6"/>
      <c r="MT19" s="6"/>
      <c r="MU19" s="6"/>
      <c r="MV19" s="6"/>
      <c r="MW19" s="6"/>
      <c r="MX19" s="6"/>
      <c r="MY19" s="6"/>
      <c r="MZ19" s="6"/>
      <c r="NA19" s="6"/>
      <c r="NB19" s="6"/>
      <c r="NC19" s="6"/>
      <c r="ND19" s="6"/>
      <c r="NE19" s="6"/>
      <c r="NF19" s="6"/>
      <c r="NG19" s="6"/>
      <c r="NH19" s="6"/>
      <c r="NI19" s="10"/>
      <c r="NJ19" s="17"/>
    </row>
    <row r="20" spans="1:374">
      <c r="A20" s="18">
        <v>3.2</v>
      </c>
      <c r="B20" s="19" t="s">
        <v>38</v>
      </c>
      <c r="C20" s="20">
        <v>43024</v>
      </c>
      <c r="D20" s="20">
        <v>43064</v>
      </c>
      <c r="E20" s="20"/>
      <c r="F20" s="7">
        <f t="shared" si="195"/>
        <v>30</v>
      </c>
      <c r="G20" s="8">
        <f t="shared" ca="1" si="196"/>
        <v>0</v>
      </c>
      <c r="H20" s="8">
        <f t="shared" ca="1" si="197"/>
        <v>30</v>
      </c>
      <c r="I20" s="7">
        <f t="shared" si="198"/>
        <v>0</v>
      </c>
      <c r="J20" s="9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  <c r="GD20" s="6"/>
      <c r="GE20" s="6"/>
      <c r="GF20" s="6"/>
      <c r="GG20" s="6"/>
      <c r="GH20" s="6"/>
      <c r="GI20" s="6"/>
      <c r="GJ20" s="6"/>
      <c r="GK20" s="6"/>
      <c r="GL20" s="6"/>
      <c r="GM20" s="6"/>
      <c r="GN20" s="6"/>
      <c r="GO20" s="6"/>
      <c r="GP20" s="6"/>
      <c r="GQ20" s="6"/>
      <c r="GR20" s="6"/>
      <c r="GS20" s="6"/>
      <c r="GT20" s="6"/>
      <c r="GU20" s="6"/>
      <c r="GV20" s="6"/>
      <c r="GW20" s="6"/>
      <c r="GX20" s="6"/>
      <c r="GY20" s="6"/>
      <c r="GZ20" s="6"/>
      <c r="HA20" s="6"/>
      <c r="HB20" s="6"/>
      <c r="HC20" s="6"/>
      <c r="HD20" s="6"/>
      <c r="HE20" s="6"/>
      <c r="HF20" s="6"/>
      <c r="HG20" s="6"/>
      <c r="HH20" s="6"/>
      <c r="HI20" s="6"/>
      <c r="HJ20" s="6"/>
      <c r="HK20" s="6"/>
      <c r="HL20" s="6"/>
      <c r="HM20" s="6"/>
      <c r="HN20" s="6"/>
      <c r="HO20" s="6"/>
      <c r="HP20" s="6"/>
      <c r="HQ20" s="6"/>
      <c r="HR20" s="6"/>
      <c r="HS20" s="6"/>
      <c r="HT20" s="6"/>
      <c r="HU20" s="6"/>
      <c r="HV20" s="6"/>
      <c r="HW20" s="6"/>
      <c r="HX20" s="6"/>
      <c r="HY20" s="6"/>
      <c r="HZ20" s="6"/>
      <c r="IA20" s="6"/>
      <c r="IB20" s="6"/>
      <c r="IC20" s="6"/>
      <c r="ID20" s="6"/>
      <c r="IE20" s="6"/>
      <c r="IF20" s="6"/>
      <c r="IG20" s="6"/>
      <c r="IH20" s="6"/>
      <c r="II20" s="6"/>
      <c r="IJ20" s="6"/>
      <c r="IK20" s="6"/>
      <c r="IL20" s="6"/>
      <c r="IM20" s="6"/>
      <c r="IN20" s="6"/>
      <c r="IO20" s="6"/>
      <c r="IP20" s="6"/>
      <c r="IQ20" s="6"/>
      <c r="IR20" s="6"/>
      <c r="IS20" s="6"/>
      <c r="IT20" s="6"/>
      <c r="IU20" s="6"/>
      <c r="IV20" s="6"/>
      <c r="IW20" s="6"/>
      <c r="IX20" s="6"/>
      <c r="IY20" s="6"/>
      <c r="IZ20" s="6"/>
      <c r="JA20" s="6"/>
      <c r="JB20" s="6"/>
      <c r="JC20" s="6"/>
      <c r="JD20" s="6"/>
      <c r="JE20" s="6"/>
      <c r="JF20" s="6"/>
      <c r="JG20" s="6"/>
      <c r="JH20" s="6"/>
      <c r="JI20" s="6"/>
      <c r="JJ20" s="6"/>
      <c r="JK20" s="6"/>
      <c r="JL20" s="6"/>
      <c r="JM20" s="6"/>
      <c r="JN20" s="6"/>
      <c r="JO20" s="6"/>
      <c r="JP20" s="6"/>
      <c r="JQ20" s="6"/>
      <c r="JR20" s="6"/>
      <c r="JS20" s="6"/>
      <c r="JT20" s="6"/>
      <c r="JU20" s="6"/>
      <c r="JV20" s="6"/>
      <c r="JW20" s="6"/>
      <c r="JX20" s="6"/>
      <c r="JY20" s="6"/>
      <c r="JZ20" s="6"/>
      <c r="KA20" s="6"/>
      <c r="KB20" s="6"/>
      <c r="KC20" s="6"/>
      <c r="KD20" s="6"/>
      <c r="KE20" s="6"/>
      <c r="KF20" s="6"/>
      <c r="KG20" s="6"/>
      <c r="KH20" s="6"/>
      <c r="KI20" s="6"/>
      <c r="KJ20" s="6"/>
      <c r="KK20" s="6"/>
      <c r="KL20" s="6"/>
      <c r="KM20" s="6"/>
      <c r="KN20" s="6"/>
      <c r="KO20" s="6"/>
      <c r="KP20" s="6"/>
      <c r="KQ20" s="6"/>
      <c r="KR20" s="6"/>
      <c r="KS20" s="6"/>
      <c r="KT20" s="6"/>
      <c r="KU20" s="6"/>
      <c r="KV20" s="6"/>
      <c r="KW20" s="6"/>
      <c r="KX20" s="6"/>
      <c r="KY20" s="6"/>
      <c r="KZ20" s="6"/>
      <c r="LA20" s="6"/>
      <c r="LB20" s="6"/>
      <c r="LC20" s="6"/>
      <c r="LD20" s="6"/>
      <c r="LE20" s="6"/>
      <c r="LF20" s="6"/>
      <c r="LG20" s="6"/>
      <c r="LH20" s="6"/>
      <c r="LI20" s="6"/>
      <c r="LJ20" s="6"/>
      <c r="LK20" s="6"/>
      <c r="LL20" s="6"/>
      <c r="LM20" s="6"/>
      <c r="LN20" s="6"/>
      <c r="LO20" s="6"/>
      <c r="LP20" s="6"/>
      <c r="LQ20" s="6"/>
      <c r="LR20" s="6"/>
      <c r="LS20" s="6"/>
      <c r="LT20" s="6"/>
      <c r="LU20" s="6"/>
      <c r="LV20" s="6"/>
      <c r="LW20" s="6"/>
      <c r="LX20" s="6"/>
      <c r="LY20" s="6"/>
      <c r="LZ20" s="6"/>
      <c r="MA20" s="6"/>
      <c r="MB20" s="6"/>
      <c r="MC20" s="6"/>
      <c r="MD20" s="6"/>
      <c r="ME20" s="6"/>
      <c r="MF20" s="6"/>
      <c r="MG20" s="6"/>
      <c r="MH20" s="6"/>
      <c r="MI20" s="6"/>
      <c r="MJ20" s="6"/>
      <c r="MK20" s="6"/>
      <c r="ML20" s="6"/>
      <c r="MM20" s="6"/>
      <c r="MN20" s="6"/>
      <c r="MO20" s="6"/>
      <c r="MP20" s="6"/>
      <c r="MQ20" s="6"/>
      <c r="MR20" s="6"/>
      <c r="MS20" s="6"/>
      <c r="MT20" s="6"/>
      <c r="MU20" s="6"/>
      <c r="MV20" s="6"/>
      <c r="MW20" s="6"/>
      <c r="MX20" s="6"/>
      <c r="MY20" s="6"/>
      <c r="MZ20" s="6"/>
      <c r="NA20" s="6"/>
      <c r="NB20" s="6"/>
      <c r="NC20" s="6"/>
      <c r="ND20" s="6"/>
      <c r="NE20" s="6"/>
      <c r="NF20" s="6"/>
      <c r="NG20" s="6"/>
      <c r="NH20" s="6"/>
      <c r="NI20" s="10"/>
      <c r="NJ20" s="17"/>
    </row>
    <row r="21" spans="1:374">
      <c r="A21" s="18">
        <v>4</v>
      </c>
      <c r="B21" s="19" t="s">
        <v>39</v>
      </c>
      <c r="C21" s="20">
        <v>43033</v>
      </c>
      <c r="D21" s="20">
        <f>MAX(D22:D24)</f>
        <v>43084</v>
      </c>
      <c r="E21" s="20"/>
      <c r="F21" s="7">
        <f t="shared" si="195"/>
        <v>38</v>
      </c>
      <c r="G21" s="8">
        <f t="shared" ca="1" si="196"/>
        <v>0</v>
      </c>
      <c r="H21" s="8">
        <f t="shared" ca="1" si="197"/>
        <v>38</v>
      </c>
      <c r="I21" s="7">
        <f t="shared" si="198"/>
        <v>0</v>
      </c>
      <c r="J21" s="9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  <c r="GD21" s="6"/>
      <c r="GE21" s="6"/>
      <c r="GF21" s="6"/>
      <c r="GG21" s="6"/>
      <c r="GH21" s="6"/>
      <c r="GI21" s="6"/>
      <c r="GJ21" s="6"/>
      <c r="GK21" s="6"/>
      <c r="GL21" s="6"/>
      <c r="GM21" s="6"/>
      <c r="GN21" s="6"/>
      <c r="GO21" s="6"/>
      <c r="GP21" s="6"/>
      <c r="GQ21" s="6"/>
      <c r="GR21" s="6"/>
      <c r="GS21" s="6"/>
      <c r="GT21" s="6"/>
      <c r="GU21" s="6"/>
      <c r="GV21" s="6"/>
      <c r="GW21" s="6"/>
      <c r="GX21" s="6"/>
      <c r="GY21" s="6"/>
      <c r="GZ21" s="6"/>
      <c r="HA21" s="6"/>
      <c r="HB21" s="6"/>
      <c r="HC21" s="6"/>
      <c r="HD21" s="6"/>
      <c r="HE21" s="6"/>
      <c r="HF21" s="6"/>
      <c r="HG21" s="6"/>
      <c r="HH21" s="6"/>
      <c r="HI21" s="6"/>
      <c r="HJ21" s="6"/>
      <c r="HK21" s="6"/>
      <c r="HL21" s="6"/>
      <c r="HM21" s="6"/>
      <c r="HN21" s="6"/>
      <c r="HO21" s="6"/>
      <c r="HP21" s="6"/>
      <c r="HQ21" s="6"/>
      <c r="HR21" s="6"/>
      <c r="HS21" s="6"/>
      <c r="HT21" s="6"/>
      <c r="HU21" s="6"/>
      <c r="HV21" s="6"/>
      <c r="HW21" s="6"/>
      <c r="HX21" s="6"/>
      <c r="HY21" s="6"/>
      <c r="HZ21" s="6"/>
      <c r="IA21" s="6"/>
      <c r="IB21" s="6"/>
      <c r="IC21" s="6"/>
      <c r="ID21" s="6"/>
      <c r="IE21" s="6"/>
      <c r="IF21" s="6"/>
      <c r="IG21" s="6"/>
      <c r="IH21" s="6"/>
      <c r="II21" s="6"/>
      <c r="IJ21" s="6"/>
      <c r="IK21" s="6"/>
      <c r="IL21" s="6"/>
      <c r="IM21" s="6"/>
      <c r="IN21" s="6"/>
      <c r="IO21" s="6"/>
      <c r="IP21" s="6"/>
      <c r="IQ21" s="6"/>
      <c r="IR21" s="6"/>
      <c r="IS21" s="6"/>
      <c r="IT21" s="6"/>
      <c r="IU21" s="6"/>
      <c r="IV21" s="6"/>
      <c r="IW21" s="6"/>
      <c r="IX21" s="6"/>
      <c r="IY21" s="6"/>
      <c r="IZ21" s="6"/>
      <c r="JA21" s="6"/>
      <c r="JB21" s="6"/>
      <c r="JC21" s="6"/>
      <c r="JD21" s="6"/>
      <c r="JE21" s="6"/>
      <c r="JF21" s="6"/>
      <c r="JG21" s="6"/>
      <c r="JH21" s="6"/>
      <c r="JI21" s="6"/>
      <c r="JJ21" s="6"/>
      <c r="JK21" s="6"/>
      <c r="JL21" s="6"/>
      <c r="JM21" s="6"/>
      <c r="JN21" s="6"/>
      <c r="JO21" s="6"/>
      <c r="JP21" s="6"/>
      <c r="JQ21" s="6"/>
      <c r="JR21" s="6"/>
      <c r="JS21" s="6"/>
      <c r="JT21" s="6"/>
      <c r="JU21" s="6"/>
      <c r="JV21" s="6"/>
      <c r="JW21" s="6"/>
      <c r="JX21" s="6"/>
      <c r="JY21" s="6"/>
      <c r="JZ21" s="6"/>
      <c r="KA21" s="6"/>
      <c r="KB21" s="6"/>
      <c r="KC21" s="6"/>
      <c r="KD21" s="6"/>
      <c r="KE21" s="6"/>
      <c r="KF21" s="6"/>
      <c r="KG21" s="6"/>
      <c r="KH21" s="6"/>
      <c r="KI21" s="6"/>
      <c r="KJ21" s="6"/>
      <c r="KK21" s="6"/>
      <c r="KL21" s="6"/>
      <c r="KM21" s="6"/>
      <c r="KN21" s="6"/>
      <c r="KO21" s="6"/>
      <c r="KP21" s="6"/>
      <c r="KQ21" s="6"/>
      <c r="KR21" s="6"/>
      <c r="KS21" s="6"/>
      <c r="KT21" s="6"/>
      <c r="KU21" s="6"/>
      <c r="KV21" s="6"/>
      <c r="KW21" s="6"/>
      <c r="KX21" s="6"/>
      <c r="KY21" s="6"/>
      <c r="KZ21" s="6"/>
      <c r="LA21" s="6"/>
      <c r="LB21" s="6"/>
      <c r="LC21" s="6"/>
      <c r="LD21" s="6"/>
      <c r="LE21" s="6"/>
      <c r="LF21" s="6"/>
      <c r="LG21" s="6"/>
      <c r="LH21" s="6"/>
      <c r="LI21" s="6"/>
      <c r="LJ21" s="6"/>
      <c r="LK21" s="6"/>
      <c r="LL21" s="6"/>
      <c r="LM21" s="6"/>
      <c r="LN21" s="6"/>
      <c r="LO21" s="6"/>
      <c r="LP21" s="6"/>
      <c r="LQ21" s="6"/>
      <c r="LR21" s="6"/>
      <c r="LS21" s="6"/>
      <c r="LT21" s="6"/>
      <c r="LU21" s="6"/>
      <c r="LV21" s="6"/>
      <c r="LW21" s="6"/>
      <c r="LX21" s="6"/>
      <c r="LY21" s="6"/>
      <c r="LZ21" s="6"/>
      <c r="MA21" s="6"/>
      <c r="MB21" s="6"/>
      <c r="MC21" s="6"/>
      <c r="MD21" s="6"/>
      <c r="ME21" s="6"/>
      <c r="MF21" s="6"/>
      <c r="MG21" s="6"/>
      <c r="MH21" s="6"/>
      <c r="MI21" s="6"/>
      <c r="MJ21" s="6"/>
      <c r="MK21" s="6"/>
      <c r="ML21" s="6"/>
      <c r="MM21" s="6"/>
      <c r="MN21" s="6"/>
      <c r="MO21" s="6"/>
      <c r="MP21" s="6"/>
      <c r="MQ21" s="6"/>
      <c r="MR21" s="6"/>
      <c r="MS21" s="6"/>
      <c r="MT21" s="6"/>
      <c r="MU21" s="6"/>
      <c r="MV21" s="6"/>
      <c r="MW21" s="6"/>
      <c r="MX21" s="6"/>
      <c r="MY21" s="6"/>
      <c r="MZ21" s="6"/>
      <c r="NA21" s="6"/>
      <c r="NB21" s="6"/>
      <c r="NC21" s="6"/>
      <c r="ND21" s="6"/>
      <c r="NE21" s="6"/>
      <c r="NF21" s="6"/>
      <c r="NG21" s="6"/>
      <c r="NH21" s="6"/>
      <c r="NI21" s="10"/>
      <c r="NJ21" s="17"/>
    </row>
    <row r="22" spans="1:374">
      <c r="A22" s="18">
        <v>4.0999999999999996</v>
      </c>
      <c r="B22" s="19" t="s">
        <v>40</v>
      </c>
      <c r="C22" s="20">
        <v>43033</v>
      </c>
      <c r="D22" s="20">
        <v>43047</v>
      </c>
      <c r="E22" s="20"/>
      <c r="F22" s="7">
        <f t="shared" si="195"/>
        <v>11</v>
      </c>
      <c r="G22" s="8">
        <f t="shared" ca="1" si="196"/>
        <v>0</v>
      </c>
      <c r="H22" s="8">
        <f t="shared" ca="1" si="197"/>
        <v>11</v>
      </c>
      <c r="I22" s="7">
        <f t="shared" si="198"/>
        <v>0</v>
      </c>
      <c r="J22" s="9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  <c r="GD22" s="6"/>
      <c r="GE22" s="6"/>
      <c r="GF22" s="6"/>
      <c r="GG22" s="6"/>
      <c r="GH22" s="6"/>
      <c r="GI22" s="6"/>
      <c r="GJ22" s="6"/>
      <c r="GK22" s="6"/>
      <c r="GL22" s="6"/>
      <c r="GM22" s="6"/>
      <c r="GN22" s="6"/>
      <c r="GO22" s="6"/>
      <c r="GP22" s="6"/>
      <c r="GQ22" s="6"/>
      <c r="GR22" s="6"/>
      <c r="GS22" s="6"/>
      <c r="GT22" s="6"/>
      <c r="GU22" s="6"/>
      <c r="GV22" s="6"/>
      <c r="GW22" s="6"/>
      <c r="GX22" s="6"/>
      <c r="GY22" s="6"/>
      <c r="GZ22" s="6"/>
      <c r="HA22" s="6"/>
      <c r="HB22" s="6"/>
      <c r="HC22" s="6"/>
      <c r="HD22" s="6"/>
      <c r="HE22" s="6"/>
      <c r="HF22" s="6"/>
      <c r="HG22" s="6"/>
      <c r="HH22" s="6"/>
      <c r="HI22" s="6"/>
      <c r="HJ22" s="6"/>
      <c r="HK22" s="6"/>
      <c r="HL22" s="6"/>
      <c r="HM22" s="6"/>
      <c r="HN22" s="6"/>
      <c r="HO22" s="6"/>
      <c r="HP22" s="6"/>
      <c r="HQ22" s="6"/>
      <c r="HR22" s="6"/>
      <c r="HS22" s="6"/>
      <c r="HT22" s="6"/>
      <c r="HU22" s="6"/>
      <c r="HV22" s="6"/>
      <c r="HW22" s="6"/>
      <c r="HX22" s="6"/>
      <c r="HY22" s="6"/>
      <c r="HZ22" s="6"/>
      <c r="IA22" s="6"/>
      <c r="IB22" s="6"/>
      <c r="IC22" s="6"/>
      <c r="ID22" s="6"/>
      <c r="IE22" s="6"/>
      <c r="IF22" s="6"/>
      <c r="IG22" s="6"/>
      <c r="IH22" s="6"/>
      <c r="II22" s="6"/>
      <c r="IJ22" s="6"/>
      <c r="IK22" s="6"/>
      <c r="IL22" s="6"/>
      <c r="IM22" s="6"/>
      <c r="IN22" s="6"/>
      <c r="IO22" s="6"/>
      <c r="IP22" s="6"/>
      <c r="IQ22" s="6"/>
      <c r="IR22" s="6"/>
      <c r="IS22" s="6"/>
      <c r="IT22" s="6"/>
      <c r="IU22" s="6"/>
      <c r="IV22" s="6"/>
      <c r="IW22" s="6"/>
      <c r="IX22" s="6"/>
      <c r="IY22" s="6"/>
      <c r="IZ22" s="6"/>
      <c r="JA22" s="6"/>
      <c r="JB22" s="6"/>
      <c r="JC22" s="6"/>
      <c r="JD22" s="6"/>
      <c r="JE22" s="6"/>
      <c r="JF22" s="6"/>
      <c r="JG22" s="6"/>
      <c r="JH22" s="6"/>
      <c r="JI22" s="6"/>
      <c r="JJ22" s="6"/>
      <c r="JK22" s="6"/>
      <c r="JL22" s="6"/>
      <c r="JM22" s="6"/>
      <c r="JN22" s="6"/>
      <c r="JO22" s="6"/>
      <c r="JP22" s="6"/>
      <c r="JQ22" s="6"/>
      <c r="JR22" s="6"/>
      <c r="JS22" s="6"/>
      <c r="JT22" s="6"/>
      <c r="JU22" s="6"/>
      <c r="JV22" s="6"/>
      <c r="JW22" s="6"/>
      <c r="JX22" s="6"/>
      <c r="JY22" s="6"/>
      <c r="JZ22" s="6"/>
      <c r="KA22" s="6"/>
      <c r="KB22" s="6"/>
      <c r="KC22" s="6"/>
      <c r="KD22" s="6"/>
      <c r="KE22" s="6"/>
      <c r="KF22" s="6"/>
      <c r="KG22" s="6"/>
      <c r="KH22" s="6"/>
      <c r="KI22" s="6"/>
      <c r="KJ22" s="6"/>
      <c r="KK22" s="6"/>
      <c r="KL22" s="6"/>
      <c r="KM22" s="6"/>
      <c r="KN22" s="6"/>
      <c r="KO22" s="6"/>
      <c r="KP22" s="6"/>
      <c r="KQ22" s="6"/>
      <c r="KR22" s="6"/>
      <c r="KS22" s="6"/>
      <c r="KT22" s="6"/>
      <c r="KU22" s="6"/>
      <c r="KV22" s="6"/>
      <c r="KW22" s="6"/>
      <c r="KX22" s="6"/>
      <c r="KY22" s="6"/>
      <c r="KZ22" s="6"/>
      <c r="LA22" s="6"/>
      <c r="LB22" s="6"/>
      <c r="LC22" s="6"/>
      <c r="LD22" s="6"/>
      <c r="LE22" s="6"/>
      <c r="LF22" s="6"/>
      <c r="LG22" s="6"/>
      <c r="LH22" s="6"/>
      <c r="LI22" s="6"/>
      <c r="LJ22" s="6"/>
      <c r="LK22" s="6"/>
      <c r="LL22" s="6"/>
      <c r="LM22" s="6"/>
      <c r="LN22" s="6"/>
      <c r="LO22" s="6"/>
      <c r="LP22" s="6"/>
      <c r="LQ22" s="6"/>
      <c r="LR22" s="6"/>
      <c r="LS22" s="6"/>
      <c r="LT22" s="6"/>
      <c r="LU22" s="6"/>
      <c r="LV22" s="6"/>
      <c r="LW22" s="6"/>
      <c r="LX22" s="6"/>
      <c r="LY22" s="6"/>
      <c r="LZ22" s="6"/>
      <c r="MA22" s="6"/>
      <c r="MB22" s="6"/>
      <c r="MC22" s="6"/>
      <c r="MD22" s="6"/>
      <c r="ME22" s="6"/>
      <c r="MF22" s="6"/>
      <c r="MG22" s="6"/>
      <c r="MH22" s="6"/>
      <c r="MI22" s="6"/>
      <c r="MJ22" s="6"/>
      <c r="MK22" s="6"/>
      <c r="ML22" s="6"/>
      <c r="MM22" s="6"/>
      <c r="MN22" s="6"/>
      <c r="MO22" s="6"/>
      <c r="MP22" s="6"/>
      <c r="MQ22" s="6"/>
      <c r="MR22" s="6"/>
      <c r="MS22" s="6"/>
      <c r="MT22" s="6"/>
      <c r="MU22" s="6"/>
      <c r="MV22" s="6"/>
      <c r="MW22" s="6"/>
      <c r="MX22" s="6"/>
      <c r="MY22" s="6"/>
      <c r="MZ22" s="6"/>
      <c r="NA22" s="6"/>
      <c r="NB22" s="6"/>
      <c r="NC22" s="6"/>
      <c r="ND22" s="6"/>
      <c r="NE22" s="6"/>
      <c r="NF22" s="6"/>
      <c r="NG22" s="6"/>
      <c r="NH22" s="6"/>
      <c r="NI22" s="10"/>
      <c r="NJ22" s="17"/>
    </row>
    <row r="23" spans="1:374">
      <c r="A23" s="18">
        <v>4.2</v>
      </c>
      <c r="B23" s="19" t="s">
        <v>41</v>
      </c>
      <c r="C23" s="20">
        <v>43033</v>
      </c>
      <c r="D23" s="20">
        <v>43047</v>
      </c>
      <c r="E23" s="20"/>
      <c r="F23" s="7">
        <f t="shared" si="195"/>
        <v>11</v>
      </c>
      <c r="G23" s="8">
        <f t="shared" ca="1" si="196"/>
        <v>0</v>
      </c>
      <c r="H23" s="8">
        <f t="shared" ca="1" si="197"/>
        <v>11</v>
      </c>
      <c r="I23" s="7">
        <f t="shared" si="198"/>
        <v>0</v>
      </c>
      <c r="J23" s="9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  <c r="GD23" s="6"/>
      <c r="GE23" s="6"/>
      <c r="GF23" s="6"/>
      <c r="GG23" s="6"/>
      <c r="GH23" s="6"/>
      <c r="GI23" s="6"/>
      <c r="GJ23" s="6"/>
      <c r="GK23" s="6"/>
      <c r="GL23" s="6"/>
      <c r="GM23" s="6"/>
      <c r="GN23" s="6"/>
      <c r="GO23" s="6"/>
      <c r="GP23" s="6"/>
      <c r="GQ23" s="6"/>
      <c r="GR23" s="6"/>
      <c r="GS23" s="6"/>
      <c r="GT23" s="6"/>
      <c r="GU23" s="6"/>
      <c r="GV23" s="6"/>
      <c r="GW23" s="6"/>
      <c r="GX23" s="6"/>
      <c r="GY23" s="6"/>
      <c r="GZ23" s="6"/>
      <c r="HA23" s="6"/>
      <c r="HB23" s="6"/>
      <c r="HC23" s="6"/>
      <c r="HD23" s="6"/>
      <c r="HE23" s="6"/>
      <c r="HF23" s="6"/>
      <c r="HG23" s="6"/>
      <c r="HH23" s="6"/>
      <c r="HI23" s="6"/>
      <c r="HJ23" s="6"/>
      <c r="HK23" s="6"/>
      <c r="HL23" s="6"/>
      <c r="HM23" s="6"/>
      <c r="HN23" s="6"/>
      <c r="HO23" s="6"/>
      <c r="HP23" s="6"/>
      <c r="HQ23" s="6"/>
      <c r="HR23" s="6"/>
      <c r="HS23" s="6"/>
      <c r="HT23" s="6"/>
      <c r="HU23" s="6"/>
      <c r="HV23" s="6"/>
      <c r="HW23" s="6"/>
      <c r="HX23" s="6"/>
      <c r="HY23" s="6"/>
      <c r="HZ23" s="6"/>
      <c r="IA23" s="6"/>
      <c r="IB23" s="6"/>
      <c r="IC23" s="6"/>
      <c r="ID23" s="6"/>
      <c r="IE23" s="6"/>
      <c r="IF23" s="6"/>
      <c r="IG23" s="6"/>
      <c r="IH23" s="6"/>
      <c r="II23" s="6"/>
      <c r="IJ23" s="6"/>
      <c r="IK23" s="6"/>
      <c r="IL23" s="6"/>
      <c r="IM23" s="6"/>
      <c r="IN23" s="6"/>
      <c r="IO23" s="6"/>
      <c r="IP23" s="6"/>
      <c r="IQ23" s="6"/>
      <c r="IR23" s="6"/>
      <c r="IS23" s="6"/>
      <c r="IT23" s="6"/>
      <c r="IU23" s="6"/>
      <c r="IV23" s="6"/>
      <c r="IW23" s="6"/>
      <c r="IX23" s="6"/>
      <c r="IY23" s="6"/>
      <c r="IZ23" s="6"/>
      <c r="JA23" s="6"/>
      <c r="JB23" s="6"/>
      <c r="JC23" s="6"/>
      <c r="JD23" s="6"/>
      <c r="JE23" s="6"/>
      <c r="JF23" s="6"/>
      <c r="JG23" s="6"/>
      <c r="JH23" s="6"/>
      <c r="JI23" s="6"/>
      <c r="JJ23" s="6"/>
      <c r="JK23" s="6"/>
      <c r="JL23" s="6"/>
      <c r="JM23" s="6"/>
      <c r="JN23" s="6"/>
      <c r="JO23" s="6"/>
      <c r="JP23" s="6"/>
      <c r="JQ23" s="6"/>
      <c r="JR23" s="6"/>
      <c r="JS23" s="6"/>
      <c r="JT23" s="6"/>
      <c r="JU23" s="6"/>
      <c r="JV23" s="6"/>
      <c r="JW23" s="6"/>
      <c r="JX23" s="6"/>
      <c r="JY23" s="6"/>
      <c r="JZ23" s="6"/>
      <c r="KA23" s="6"/>
      <c r="KB23" s="6"/>
      <c r="KC23" s="6"/>
      <c r="KD23" s="6"/>
      <c r="KE23" s="6"/>
      <c r="KF23" s="6"/>
      <c r="KG23" s="6"/>
      <c r="KH23" s="6"/>
      <c r="KI23" s="6"/>
      <c r="KJ23" s="6"/>
      <c r="KK23" s="6"/>
      <c r="KL23" s="6"/>
      <c r="KM23" s="6"/>
      <c r="KN23" s="6"/>
      <c r="KO23" s="6"/>
      <c r="KP23" s="6"/>
      <c r="KQ23" s="6"/>
      <c r="KR23" s="6"/>
      <c r="KS23" s="6"/>
      <c r="KT23" s="6"/>
      <c r="KU23" s="6"/>
      <c r="KV23" s="6"/>
      <c r="KW23" s="6"/>
      <c r="KX23" s="6"/>
      <c r="KY23" s="6"/>
      <c r="KZ23" s="6"/>
      <c r="LA23" s="6"/>
      <c r="LB23" s="6"/>
      <c r="LC23" s="6"/>
      <c r="LD23" s="6"/>
      <c r="LE23" s="6"/>
      <c r="LF23" s="6"/>
      <c r="LG23" s="6"/>
      <c r="LH23" s="6"/>
      <c r="LI23" s="6"/>
      <c r="LJ23" s="6"/>
      <c r="LK23" s="6"/>
      <c r="LL23" s="6"/>
      <c r="LM23" s="6"/>
      <c r="LN23" s="6"/>
      <c r="LO23" s="6"/>
      <c r="LP23" s="6"/>
      <c r="LQ23" s="6"/>
      <c r="LR23" s="6"/>
      <c r="LS23" s="6"/>
      <c r="LT23" s="6"/>
      <c r="LU23" s="6"/>
      <c r="LV23" s="6"/>
      <c r="LW23" s="6"/>
      <c r="LX23" s="6"/>
      <c r="LY23" s="6"/>
      <c r="LZ23" s="6"/>
      <c r="MA23" s="6"/>
      <c r="MB23" s="6"/>
      <c r="MC23" s="6"/>
      <c r="MD23" s="6"/>
      <c r="ME23" s="6"/>
      <c r="MF23" s="6"/>
      <c r="MG23" s="6"/>
      <c r="MH23" s="6"/>
      <c r="MI23" s="6"/>
      <c r="MJ23" s="6"/>
      <c r="MK23" s="6"/>
      <c r="ML23" s="6"/>
      <c r="MM23" s="6"/>
      <c r="MN23" s="6"/>
      <c r="MO23" s="6"/>
      <c r="MP23" s="6"/>
      <c r="MQ23" s="6"/>
      <c r="MR23" s="6"/>
      <c r="MS23" s="6"/>
      <c r="MT23" s="6"/>
      <c r="MU23" s="6"/>
      <c r="MV23" s="6"/>
      <c r="MW23" s="6"/>
      <c r="MX23" s="6"/>
      <c r="MY23" s="6"/>
      <c r="MZ23" s="6"/>
      <c r="NA23" s="6"/>
      <c r="NB23" s="6"/>
      <c r="NC23" s="6"/>
      <c r="ND23" s="6"/>
      <c r="NE23" s="6"/>
      <c r="NF23" s="6"/>
      <c r="NG23" s="6"/>
      <c r="NH23" s="6"/>
      <c r="NI23" s="10"/>
      <c r="NJ23" s="17"/>
    </row>
    <row r="24" spans="1:374">
      <c r="A24" s="18">
        <v>4.3</v>
      </c>
      <c r="B24" s="19" t="s">
        <v>42</v>
      </c>
      <c r="C24" s="20">
        <v>43047</v>
      </c>
      <c r="D24" s="20">
        <v>43084</v>
      </c>
      <c r="E24" s="20"/>
      <c r="F24" s="7">
        <f t="shared" si="195"/>
        <v>28</v>
      </c>
      <c r="G24" s="8">
        <f t="shared" ca="1" si="196"/>
        <v>0</v>
      </c>
      <c r="H24" s="8">
        <f t="shared" ca="1" si="197"/>
        <v>28</v>
      </c>
      <c r="I24" s="7">
        <f t="shared" si="198"/>
        <v>0</v>
      </c>
      <c r="J24" s="9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10"/>
      <c r="NJ24" s="17"/>
    </row>
    <row r="25" spans="1:374">
      <c r="A25" s="18">
        <v>5</v>
      </c>
      <c r="B25" s="19" t="s">
        <v>43</v>
      </c>
      <c r="C25" s="20">
        <v>43115</v>
      </c>
      <c r="D25" s="20">
        <f>MAX(D26:D27)</f>
        <v>43143</v>
      </c>
      <c r="E25" s="20"/>
      <c r="F25" s="7">
        <f t="shared" si="195"/>
        <v>21</v>
      </c>
      <c r="G25" s="8">
        <f t="shared" ca="1" si="196"/>
        <v>0</v>
      </c>
      <c r="H25" s="8">
        <f t="shared" ca="1" si="197"/>
        <v>21</v>
      </c>
      <c r="I25" s="7">
        <f t="shared" si="198"/>
        <v>0</v>
      </c>
      <c r="J25" s="9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  <c r="GD25" s="6"/>
      <c r="GE25" s="6"/>
      <c r="GF25" s="6"/>
      <c r="GG25" s="6"/>
      <c r="GH25" s="6"/>
      <c r="GI25" s="6"/>
      <c r="GJ25" s="6"/>
      <c r="GK25" s="6"/>
      <c r="GL25" s="6"/>
      <c r="GM25" s="6"/>
      <c r="GN25" s="6"/>
      <c r="GO25" s="6"/>
      <c r="GP25" s="6"/>
      <c r="GQ25" s="6"/>
      <c r="GR25" s="6"/>
      <c r="GS25" s="6"/>
      <c r="GT25" s="6"/>
      <c r="GU25" s="6"/>
      <c r="GV25" s="6"/>
      <c r="GW25" s="6"/>
      <c r="GX25" s="6"/>
      <c r="GY25" s="6"/>
      <c r="GZ25" s="6"/>
      <c r="HA25" s="6"/>
      <c r="HB25" s="6"/>
      <c r="HC25" s="6"/>
      <c r="HD25" s="6"/>
      <c r="HE25" s="6"/>
      <c r="HF25" s="6"/>
      <c r="HG25" s="6"/>
      <c r="HH25" s="6"/>
      <c r="HI25" s="6"/>
      <c r="HJ25" s="6"/>
      <c r="HK25" s="6"/>
      <c r="HL25" s="6"/>
      <c r="HM25" s="6"/>
      <c r="HN25" s="6"/>
      <c r="HO25" s="6"/>
      <c r="HP25" s="6"/>
      <c r="HQ25" s="6"/>
      <c r="HR25" s="6"/>
      <c r="HS25" s="6"/>
      <c r="HT25" s="6"/>
      <c r="HU25" s="6"/>
      <c r="HV25" s="6"/>
      <c r="HW25" s="6"/>
      <c r="HX25" s="6"/>
      <c r="HY25" s="6"/>
      <c r="HZ25" s="6"/>
      <c r="IA25" s="6"/>
      <c r="IB25" s="6"/>
      <c r="IC25" s="6"/>
      <c r="ID25" s="6"/>
      <c r="IE25" s="6"/>
      <c r="IF25" s="6"/>
      <c r="IG25" s="6"/>
      <c r="IH25" s="6"/>
      <c r="II25" s="6"/>
      <c r="IJ25" s="6"/>
      <c r="IK25" s="6"/>
      <c r="IL25" s="6"/>
      <c r="IM25" s="6"/>
      <c r="IN25" s="6"/>
      <c r="IO25" s="6"/>
      <c r="IP25" s="6"/>
      <c r="IQ25" s="6"/>
      <c r="IR25" s="6"/>
      <c r="IS25" s="6"/>
      <c r="IT25" s="6"/>
      <c r="IU25" s="6"/>
      <c r="IV25" s="6"/>
      <c r="IW25" s="6"/>
      <c r="IX25" s="6"/>
      <c r="IY25" s="6"/>
      <c r="IZ25" s="6"/>
      <c r="JA25" s="6"/>
      <c r="JB25" s="6"/>
      <c r="JC25" s="6"/>
      <c r="JD25" s="6"/>
      <c r="JE25" s="6"/>
      <c r="JF25" s="6"/>
      <c r="JG25" s="6"/>
      <c r="JH25" s="6"/>
      <c r="JI25" s="6"/>
      <c r="JJ25" s="6"/>
      <c r="JK25" s="6"/>
      <c r="JL25" s="6"/>
      <c r="JM25" s="6"/>
      <c r="JN25" s="6"/>
      <c r="JO25" s="6"/>
      <c r="JP25" s="6"/>
      <c r="JQ25" s="6"/>
      <c r="JR25" s="6"/>
      <c r="JS25" s="6"/>
      <c r="JT25" s="6"/>
      <c r="JU25" s="6"/>
      <c r="JV25" s="6"/>
      <c r="JW25" s="6"/>
      <c r="JX25" s="6"/>
      <c r="JY25" s="6"/>
      <c r="JZ25" s="6"/>
      <c r="KA25" s="6"/>
      <c r="KB25" s="6"/>
      <c r="KC25" s="6"/>
      <c r="KD25" s="6"/>
      <c r="KE25" s="6"/>
      <c r="KF25" s="6"/>
      <c r="KG25" s="6"/>
      <c r="KH25" s="6"/>
      <c r="KI25" s="6"/>
      <c r="KJ25" s="6"/>
      <c r="KK25" s="6"/>
      <c r="KL25" s="6"/>
      <c r="KM25" s="6"/>
      <c r="KN25" s="6"/>
      <c r="KO25" s="6"/>
      <c r="KP25" s="6"/>
      <c r="KQ25" s="6"/>
      <c r="KR25" s="6"/>
      <c r="KS25" s="6"/>
      <c r="KT25" s="6"/>
      <c r="KU25" s="6"/>
      <c r="KV25" s="6"/>
      <c r="KW25" s="6"/>
      <c r="KX25" s="6"/>
      <c r="KY25" s="6"/>
      <c r="KZ25" s="6"/>
      <c r="LA25" s="6"/>
      <c r="LB25" s="6"/>
      <c r="LC25" s="6"/>
      <c r="LD25" s="6"/>
      <c r="LE25" s="6"/>
      <c r="LF25" s="6"/>
      <c r="LG25" s="6"/>
      <c r="LH25" s="6"/>
      <c r="LI25" s="6"/>
      <c r="LJ25" s="6"/>
      <c r="LK25" s="6"/>
      <c r="LL25" s="6"/>
      <c r="LM25" s="6"/>
      <c r="LN25" s="6"/>
      <c r="LO25" s="6"/>
      <c r="LP25" s="6"/>
      <c r="LQ25" s="6"/>
      <c r="LR25" s="6"/>
      <c r="LS25" s="6"/>
      <c r="LT25" s="6"/>
      <c r="LU25" s="6"/>
      <c r="LV25" s="6"/>
      <c r="LW25" s="6"/>
      <c r="LX25" s="6"/>
      <c r="LY25" s="6"/>
      <c r="LZ25" s="6"/>
      <c r="MA25" s="6"/>
      <c r="MB25" s="6"/>
      <c r="MC25" s="6"/>
      <c r="MD25" s="6"/>
      <c r="ME25" s="6"/>
      <c r="MF25" s="6"/>
      <c r="MG25" s="6"/>
      <c r="MH25" s="6"/>
      <c r="MI25" s="6"/>
      <c r="MJ25" s="6"/>
      <c r="MK25" s="6"/>
      <c r="ML25" s="6"/>
      <c r="MM25" s="6"/>
      <c r="MN25" s="6"/>
      <c r="MO25" s="6"/>
      <c r="MP25" s="6"/>
      <c r="MQ25" s="6"/>
      <c r="MR25" s="6"/>
      <c r="MS25" s="6"/>
      <c r="MT25" s="6"/>
      <c r="MU25" s="6"/>
      <c r="MV25" s="6"/>
      <c r="MW25" s="6"/>
      <c r="MX25" s="6"/>
      <c r="MY25" s="6"/>
      <c r="MZ25" s="6"/>
      <c r="NA25" s="6"/>
      <c r="NB25" s="6"/>
      <c r="NC25" s="6"/>
      <c r="ND25" s="6"/>
      <c r="NE25" s="6"/>
      <c r="NF25" s="6"/>
      <c r="NG25" s="6"/>
      <c r="NH25" s="6"/>
      <c r="NI25" s="10"/>
      <c r="NJ25" s="17"/>
    </row>
    <row r="26" spans="1:374">
      <c r="A26" s="18">
        <v>5.0999999999999996</v>
      </c>
      <c r="B26" s="19" t="s">
        <v>44</v>
      </c>
      <c r="C26" s="20">
        <v>43115</v>
      </c>
      <c r="D26" s="20">
        <v>43122</v>
      </c>
      <c r="E26" s="20"/>
      <c r="F26" s="7">
        <f t="shared" si="195"/>
        <v>6</v>
      </c>
      <c r="G26" s="8">
        <f t="shared" ca="1" si="196"/>
        <v>0</v>
      </c>
      <c r="H26" s="8">
        <f t="shared" ca="1" si="197"/>
        <v>6</v>
      </c>
      <c r="I26" s="7">
        <f t="shared" si="198"/>
        <v>0</v>
      </c>
      <c r="J26" s="9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  <c r="GD26" s="6"/>
      <c r="GE26" s="6"/>
      <c r="GF26" s="6"/>
      <c r="GG26" s="6"/>
      <c r="GH26" s="6"/>
      <c r="GI26" s="6"/>
      <c r="GJ26" s="6"/>
      <c r="GK26" s="6"/>
      <c r="GL26" s="6"/>
      <c r="GM26" s="6"/>
      <c r="GN26" s="6"/>
      <c r="GO26" s="6"/>
      <c r="GP26" s="6"/>
      <c r="GQ26" s="6"/>
      <c r="GR26" s="6"/>
      <c r="GS26" s="6"/>
      <c r="GT26" s="6"/>
      <c r="GU26" s="6"/>
      <c r="GV26" s="6"/>
      <c r="GW26" s="6"/>
      <c r="GX26" s="6"/>
      <c r="GY26" s="6"/>
      <c r="GZ26" s="6"/>
      <c r="HA26" s="6"/>
      <c r="HB26" s="6"/>
      <c r="HC26" s="6"/>
      <c r="HD26" s="6"/>
      <c r="HE26" s="6"/>
      <c r="HF26" s="6"/>
      <c r="HG26" s="6"/>
      <c r="HH26" s="6"/>
      <c r="HI26" s="6"/>
      <c r="HJ26" s="6"/>
      <c r="HK26" s="6"/>
      <c r="HL26" s="6"/>
      <c r="HM26" s="6"/>
      <c r="HN26" s="6"/>
      <c r="HO26" s="6"/>
      <c r="HP26" s="6"/>
      <c r="HQ26" s="6"/>
      <c r="HR26" s="6"/>
      <c r="HS26" s="6"/>
      <c r="HT26" s="6"/>
      <c r="HU26" s="6"/>
      <c r="HV26" s="6"/>
      <c r="HW26" s="6"/>
      <c r="HX26" s="6"/>
      <c r="HY26" s="6"/>
      <c r="HZ26" s="6"/>
      <c r="IA26" s="6"/>
      <c r="IB26" s="6"/>
      <c r="IC26" s="6"/>
      <c r="ID26" s="6"/>
      <c r="IE26" s="6"/>
      <c r="IF26" s="6"/>
      <c r="IG26" s="6"/>
      <c r="IH26" s="6"/>
      <c r="II26" s="6"/>
      <c r="IJ26" s="6"/>
      <c r="IK26" s="6"/>
      <c r="IL26" s="6"/>
      <c r="IM26" s="6"/>
      <c r="IN26" s="6"/>
      <c r="IO26" s="6"/>
      <c r="IP26" s="6"/>
      <c r="IQ26" s="6"/>
      <c r="IR26" s="6"/>
      <c r="IS26" s="6"/>
      <c r="IT26" s="6"/>
      <c r="IU26" s="6"/>
      <c r="IV26" s="6"/>
      <c r="IW26" s="6"/>
      <c r="IX26" s="6"/>
      <c r="IY26" s="6"/>
      <c r="IZ26" s="6"/>
      <c r="JA26" s="6"/>
      <c r="JB26" s="6"/>
      <c r="JC26" s="6"/>
      <c r="JD26" s="6"/>
      <c r="JE26" s="6"/>
      <c r="JF26" s="6"/>
      <c r="JG26" s="6"/>
      <c r="JH26" s="6"/>
      <c r="JI26" s="6"/>
      <c r="JJ26" s="6"/>
      <c r="JK26" s="6"/>
      <c r="JL26" s="6"/>
      <c r="JM26" s="6"/>
      <c r="JN26" s="6"/>
      <c r="JO26" s="6"/>
      <c r="JP26" s="6"/>
      <c r="JQ26" s="6"/>
      <c r="JR26" s="6"/>
      <c r="JS26" s="6"/>
      <c r="JT26" s="6"/>
      <c r="JU26" s="6"/>
      <c r="JV26" s="6"/>
      <c r="JW26" s="6"/>
      <c r="JX26" s="6"/>
      <c r="JY26" s="6"/>
      <c r="JZ26" s="6"/>
      <c r="KA26" s="6"/>
      <c r="KB26" s="6"/>
      <c r="KC26" s="6"/>
      <c r="KD26" s="6"/>
      <c r="KE26" s="6"/>
      <c r="KF26" s="6"/>
      <c r="KG26" s="6"/>
      <c r="KH26" s="6"/>
      <c r="KI26" s="6"/>
      <c r="KJ26" s="6"/>
      <c r="KK26" s="6"/>
      <c r="KL26" s="6"/>
      <c r="KM26" s="6"/>
      <c r="KN26" s="6"/>
      <c r="KO26" s="6"/>
      <c r="KP26" s="6"/>
      <c r="KQ26" s="6"/>
      <c r="KR26" s="6"/>
      <c r="KS26" s="6"/>
      <c r="KT26" s="6"/>
      <c r="KU26" s="6"/>
      <c r="KV26" s="6"/>
      <c r="KW26" s="6"/>
      <c r="KX26" s="6"/>
      <c r="KY26" s="6"/>
      <c r="KZ26" s="6"/>
      <c r="LA26" s="6"/>
      <c r="LB26" s="6"/>
      <c r="LC26" s="6"/>
      <c r="LD26" s="6"/>
      <c r="LE26" s="6"/>
      <c r="LF26" s="6"/>
      <c r="LG26" s="6"/>
      <c r="LH26" s="6"/>
      <c r="LI26" s="6"/>
      <c r="LJ26" s="6"/>
      <c r="LK26" s="6"/>
      <c r="LL26" s="6"/>
      <c r="LM26" s="6"/>
      <c r="LN26" s="6"/>
      <c r="LO26" s="6"/>
      <c r="LP26" s="6"/>
      <c r="LQ26" s="6"/>
      <c r="LR26" s="6"/>
      <c r="LS26" s="6"/>
      <c r="LT26" s="6"/>
      <c r="LU26" s="6"/>
      <c r="LV26" s="6"/>
      <c r="LW26" s="6"/>
      <c r="LX26" s="6"/>
      <c r="LY26" s="6"/>
      <c r="LZ26" s="6"/>
      <c r="MA26" s="6"/>
      <c r="MB26" s="6"/>
      <c r="MC26" s="6"/>
      <c r="MD26" s="6"/>
      <c r="ME26" s="6"/>
      <c r="MF26" s="6"/>
      <c r="MG26" s="6"/>
      <c r="MH26" s="6"/>
      <c r="MI26" s="6"/>
      <c r="MJ26" s="6"/>
      <c r="MK26" s="6"/>
      <c r="ML26" s="6"/>
      <c r="MM26" s="6"/>
      <c r="MN26" s="6"/>
      <c r="MO26" s="6"/>
      <c r="MP26" s="6"/>
      <c r="MQ26" s="6"/>
      <c r="MR26" s="6"/>
      <c r="MS26" s="6"/>
      <c r="MT26" s="6"/>
      <c r="MU26" s="6"/>
      <c r="MV26" s="6"/>
      <c r="MW26" s="6"/>
      <c r="MX26" s="6"/>
      <c r="MY26" s="6"/>
      <c r="MZ26" s="6"/>
      <c r="NA26" s="6"/>
      <c r="NB26" s="6"/>
      <c r="NC26" s="6"/>
      <c r="ND26" s="6"/>
      <c r="NE26" s="6"/>
      <c r="NF26" s="6"/>
      <c r="NG26" s="6"/>
      <c r="NH26" s="6"/>
      <c r="NI26" s="10"/>
      <c r="NJ26" s="17"/>
    </row>
    <row r="27" spans="1:374">
      <c r="A27" s="18">
        <v>5.2</v>
      </c>
      <c r="B27" s="19" t="s">
        <v>45</v>
      </c>
      <c r="C27" s="20">
        <v>43122</v>
      </c>
      <c r="D27" s="20">
        <v>43143</v>
      </c>
      <c r="E27" s="20"/>
      <c r="F27" s="7">
        <f t="shared" si="195"/>
        <v>16</v>
      </c>
      <c r="G27" s="8">
        <f t="shared" ca="1" si="196"/>
        <v>0</v>
      </c>
      <c r="H27" s="8">
        <f t="shared" ca="1" si="197"/>
        <v>16</v>
      </c>
      <c r="I27" s="7">
        <f t="shared" si="198"/>
        <v>0</v>
      </c>
      <c r="J27" s="9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  <c r="GS27" s="6"/>
      <c r="GT27" s="6"/>
      <c r="GU27" s="6"/>
      <c r="GV27" s="6"/>
      <c r="GW27" s="6"/>
      <c r="GX27" s="6"/>
      <c r="GY27" s="6"/>
      <c r="GZ27" s="6"/>
      <c r="HA27" s="6"/>
      <c r="HB27" s="6"/>
      <c r="HC27" s="6"/>
      <c r="HD27" s="6"/>
      <c r="HE27" s="6"/>
      <c r="HF27" s="6"/>
      <c r="HG27" s="6"/>
      <c r="HH27" s="6"/>
      <c r="HI27" s="6"/>
      <c r="HJ27" s="6"/>
      <c r="HK27" s="6"/>
      <c r="HL27" s="6"/>
      <c r="HM27" s="6"/>
      <c r="HN27" s="6"/>
      <c r="HO27" s="6"/>
      <c r="HP27" s="6"/>
      <c r="HQ27" s="6"/>
      <c r="HR27" s="6"/>
      <c r="HS27" s="6"/>
      <c r="HT27" s="6"/>
      <c r="HU27" s="6"/>
      <c r="HV27" s="6"/>
      <c r="HW27" s="6"/>
      <c r="HX27" s="6"/>
      <c r="HY27" s="6"/>
      <c r="HZ27" s="6"/>
      <c r="IA27" s="6"/>
      <c r="IB27" s="6"/>
      <c r="IC27" s="6"/>
      <c r="ID27" s="6"/>
      <c r="IE27" s="6"/>
      <c r="IF27" s="6"/>
      <c r="IG27" s="6"/>
      <c r="IH27" s="6"/>
      <c r="II27" s="6"/>
      <c r="IJ27" s="6"/>
      <c r="IK27" s="6"/>
      <c r="IL27" s="6"/>
      <c r="IM27" s="6"/>
      <c r="IN27" s="6"/>
      <c r="IO27" s="6"/>
      <c r="IP27" s="6"/>
      <c r="IQ27" s="6"/>
      <c r="IR27" s="6"/>
      <c r="IS27" s="6"/>
      <c r="IT27" s="6"/>
      <c r="IU27" s="6"/>
      <c r="IV27" s="6"/>
      <c r="IW27" s="6"/>
      <c r="IX27" s="6"/>
      <c r="IY27" s="6"/>
      <c r="IZ27" s="6"/>
      <c r="JA27" s="6"/>
      <c r="JB27" s="6"/>
      <c r="JC27" s="6"/>
      <c r="JD27" s="6"/>
      <c r="JE27" s="6"/>
      <c r="JF27" s="6"/>
      <c r="JG27" s="6"/>
      <c r="JH27" s="6"/>
      <c r="JI27" s="6"/>
      <c r="JJ27" s="6"/>
      <c r="JK27" s="6"/>
      <c r="JL27" s="6"/>
      <c r="JM27" s="6"/>
      <c r="JN27" s="6"/>
      <c r="JO27" s="6"/>
      <c r="JP27" s="6"/>
      <c r="JQ27" s="6"/>
      <c r="JR27" s="6"/>
      <c r="JS27" s="6"/>
      <c r="JT27" s="6"/>
      <c r="JU27" s="6"/>
      <c r="JV27" s="6"/>
      <c r="JW27" s="6"/>
      <c r="JX27" s="6"/>
      <c r="JY27" s="6"/>
      <c r="JZ27" s="6"/>
      <c r="KA27" s="6"/>
      <c r="KB27" s="6"/>
      <c r="KC27" s="6"/>
      <c r="KD27" s="6"/>
      <c r="KE27" s="6"/>
      <c r="KF27" s="6"/>
      <c r="KG27" s="6"/>
      <c r="KH27" s="6"/>
      <c r="KI27" s="6"/>
      <c r="KJ27" s="6"/>
      <c r="KK27" s="6"/>
      <c r="KL27" s="6"/>
      <c r="KM27" s="6"/>
      <c r="KN27" s="6"/>
      <c r="KO27" s="6"/>
      <c r="KP27" s="6"/>
      <c r="KQ27" s="6"/>
      <c r="KR27" s="6"/>
      <c r="KS27" s="6"/>
      <c r="KT27" s="6"/>
      <c r="KU27" s="6"/>
      <c r="KV27" s="6"/>
      <c r="KW27" s="6"/>
      <c r="KX27" s="6"/>
      <c r="KY27" s="6"/>
      <c r="KZ27" s="6"/>
      <c r="LA27" s="6"/>
      <c r="LB27" s="6"/>
      <c r="LC27" s="6"/>
      <c r="LD27" s="6"/>
      <c r="LE27" s="6"/>
      <c r="LF27" s="6"/>
      <c r="LG27" s="6"/>
      <c r="LH27" s="6"/>
      <c r="LI27" s="6"/>
      <c r="LJ27" s="6"/>
      <c r="LK27" s="6"/>
      <c r="LL27" s="6"/>
      <c r="LM27" s="6"/>
      <c r="LN27" s="6"/>
      <c r="LO27" s="6"/>
      <c r="LP27" s="6"/>
      <c r="LQ27" s="6"/>
      <c r="LR27" s="6"/>
      <c r="LS27" s="6"/>
      <c r="LT27" s="6"/>
      <c r="LU27" s="6"/>
      <c r="LV27" s="6"/>
      <c r="LW27" s="6"/>
      <c r="LX27" s="6"/>
      <c r="LY27" s="6"/>
      <c r="LZ27" s="6"/>
      <c r="MA27" s="6"/>
      <c r="MB27" s="6"/>
      <c r="MC27" s="6"/>
      <c r="MD27" s="6"/>
      <c r="ME27" s="6"/>
      <c r="MF27" s="6"/>
      <c r="MG27" s="6"/>
      <c r="MH27" s="6"/>
      <c r="MI27" s="6"/>
      <c r="MJ27" s="6"/>
      <c r="MK27" s="6"/>
      <c r="ML27" s="6"/>
      <c r="MM27" s="6"/>
      <c r="MN27" s="6"/>
      <c r="MO27" s="6"/>
      <c r="MP27" s="6"/>
      <c r="MQ27" s="6"/>
      <c r="MR27" s="6"/>
      <c r="MS27" s="6"/>
      <c r="MT27" s="6"/>
      <c r="MU27" s="6"/>
      <c r="MV27" s="6"/>
      <c r="MW27" s="6"/>
      <c r="MX27" s="6"/>
      <c r="MY27" s="6"/>
      <c r="MZ27" s="6"/>
      <c r="NA27" s="6"/>
      <c r="NB27" s="6"/>
      <c r="NC27" s="6"/>
      <c r="ND27" s="6"/>
      <c r="NE27" s="6"/>
      <c r="NF27" s="6"/>
      <c r="NG27" s="6"/>
      <c r="NH27" s="6"/>
      <c r="NI27" s="10"/>
      <c r="NJ27" s="17"/>
    </row>
    <row r="28" spans="1:374">
      <c r="A28" s="18">
        <v>6</v>
      </c>
      <c r="B28" s="19" t="s">
        <v>46</v>
      </c>
      <c r="C28" s="20">
        <v>43143</v>
      </c>
      <c r="D28" s="20">
        <f>MAX(D29:D32)</f>
        <v>43183</v>
      </c>
      <c r="E28" s="20"/>
      <c r="F28" s="7">
        <f t="shared" si="195"/>
        <v>30</v>
      </c>
      <c r="G28" s="8">
        <f t="shared" ca="1" si="196"/>
        <v>0</v>
      </c>
      <c r="H28" s="8">
        <f t="shared" ca="1" si="197"/>
        <v>30</v>
      </c>
      <c r="I28" s="7">
        <f t="shared" si="198"/>
        <v>0</v>
      </c>
      <c r="J28" s="9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  <c r="GD28" s="6"/>
      <c r="GE28" s="6"/>
      <c r="GF28" s="6"/>
      <c r="GG28" s="6"/>
      <c r="GH28" s="6"/>
      <c r="GI28" s="6"/>
      <c r="GJ28" s="6"/>
      <c r="GK28" s="6"/>
      <c r="GL28" s="6"/>
      <c r="GM28" s="6"/>
      <c r="GN28" s="6"/>
      <c r="GO28" s="6"/>
      <c r="GP28" s="6"/>
      <c r="GQ28" s="6"/>
      <c r="GR28" s="6"/>
      <c r="GS28" s="6"/>
      <c r="GT28" s="6"/>
      <c r="GU28" s="6"/>
      <c r="GV28" s="6"/>
      <c r="GW28" s="6"/>
      <c r="GX28" s="6"/>
      <c r="GY28" s="6"/>
      <c r="GZ28" s="6"/>
      <c r="HA28" s="6"/>
      <c r="HB28" s="6"/>
      <c r="HC28" s="6"/>
      <c r="HD28" s="6"/>
      <c r="HE28" s="6"/>
      <c r="HF28" s="6"/>
      <c r="HG28" s="6"/>
      <c r="HH28" s="6"/>
      <c r="HI28" s="6"/>
      <c r="HJ28" s="6"/>
      <c r="HK28" s="6"/>
      <c r="HL28" s="6"/>
      <c r="HM28" s="6"/>
      <c r="HN28" s="6"/>
      <c r="HO28" s="6"/>
      <c r="HP28" s="6"/>
      <c r="HQ28" s="6"/>
      <c r="HR28" s="6"/>
      <c r="HS28" s="6"/>
      <c r="HT28" s="6"/>
      <c r="HU28" s="6"/>
      <c r="HV28" s="6"/>
      <c r="HW28" s="6"/>
      <c r="HX28" s="6"/>
      <c r="HY28" s="6"/>
      <c r="HZ28" s="6"/>
      <c r="IA28" s="6"/>
      <c r="IB28" s="6"/>
      <c r="IC28" s="6"/>
      <c r="ID28" s="6"/>
      <c r="IE28" s="6"/>
      <c r="IF28" s="6"/>
      <c r="IG28" s="6"/>
      <c r="IH28" s="6"/>
      <c r="II28" s="6"/>
      <c r="IJ28" s="6"/>
      <c r="IK28" s="6"/>
      <c r="IL28" s="6"/>
      <c r="IM28" s="6"/>
      <c r="IN28" s="6"/>
      <c r="IO28" s="6"/>
      <c r="IP28" s="6"/>
      <c r="IQ28" s="6"/>
      <c r="IR28" s="6"/>
      <c r="IS28" s="6"/>
      <c r="IT28" s="6"/>
      <c r="IU28" s="6"/>
      <c r="IV28" s="6"/>
      <c r="IW28" s="6"/>
      <c r="IX28" s="6"/>
      <c r="IY28" s="6"/>
      <c r="IZ28" s="6"/>
      <c r="JA28" s="6"/>
      <c r="JB28" s="6"/>
      <c r="JC28" s="6"/>
      <c r="JD28" s="6"/>
      <c r="JE28" s="6"/>
      <c r="JF28" s="6"/>
      <c r="JG28" s="6"/>
      <c r="JH28" s="6"/>
      <c r="JI28" s="6"/>
      <c r="JJ28" s="6"/>
      <c r="JK28" s="6"/>
      <c r="JL28" s="6"/>
      <c r="JM28" s="6"/>
      <c r="JN28" s="6"/>
      <c r="JO28" s="6"/>
      <c r="JP28" s="6"/>
      <c r="JQ28" s="6"/>
      <c r="JR28" s="6"/>
      <c r="JS28" s="6"/>
      <c r="JT28" s="6"/>
      <c r="JU28" s="6"/>
      <c r="JV28" s="6"/>
      <c r="JW28" s="6"/>
      <c r="JX28" s="6"/>
      <c r="JY28" s="6"/>
      <c r="JZ28" s="6"/>
      <c r="KA28" s="6"/>
      <c r="KB28" s="6"/>
      <c r="KC28" s="6"/>
      <c r="KD28" s="6"/>
      <c r="KE28" s="6"/>
      <c r="KF28" s="6"/>
      <c r="KG28" s="6"/>
      <c r="KH28" s="6"/>
      <c r="KI28" s="6"/>
      <c r="KJ28" s="6"/>
      <c r="KK28" s="6"/>
      <c r="KL28" s="6"/>
      <c r="KM28" s="6"/>
      <c r="KN28" s="6"/>
      <c r="KO28" s="6"/>
      <c r="KP28" s="6"/>
      <c r="KQ28" s="6"/>
      <c r="KR28" s="6"/>
      <c r="KS28" s="6"/>
      <c r="KT28" s="6"/>
      <c r="KU28" s="6"/>
      <c r="KV28" s="6"/>
      <c r="KW28" s="6"/>
      <c r="KX28" s="6"/>
      <c r="KY28" s="6"/>
      <c r="KZ28" s="6"/>
      <c r="LA28" s="6"/>
      <c r="LB28" s="6"/>
      <c r="LC28" s="6"/>
      <c r="LD28" s="6"/>
      <c r="LE28" s="6"/>
      <c r="LF28" s="6"/>
      <c r="LG28" s="6"/>
      <c r="LH28" s="6"/>
      <c r="LI28" s="6"/>
      <c r="LJ28" s="6"/>
      <c r="LK28" s="6"/>
      <c r="LL28" s="6"/>
      <c r="LM28" s="6"/>
      <c r="LN28" s="6"/>
      <c r="LO28" s="6"/>
      <c r="LP28" s="6"/>
      <c r="LQ28" s="6"/>
      <c r="LR28" s="6"/>
      <c r="LS28" s="6"/>
      <c r="LT28" s="6"/>
      <c r="LU28" s="6"/>
      <c r="LV28" s="6"/>
      <c r="LW28" s="6"/>
      <c r="LX28" s="6"/>
      <c r="LY28" s="6"/>
      <c r="LZ28" s="6"/>
      <c r="MA28" s="6"/>
      <c r="MB28" s="6"/>
      <c r="MC28" s="6"/>
      <c r="MD28" s="6"/>
      <c r="ME28" s="6"/>
      <c r="MF28" s="6"/>
      <c r="MG28" s="6"/>
      <c r="MH28" s="6"/>
      <c r="MI28" s="6"/>
      <c r="MJ28" s="6"/>
      <c r="MK28" s="6"/>
      <c r="ML28" s="6"/>
      <c r="MM28" s="6"/>
      <c r="MN28" s="6"/>
      <c r="MO28" s="6"/>
      <c r="MP28" s="6"/>
      <c r="MQ28" s="6"/>
      <c r="MR28" s="6"/>
      <c r="MS28" s="6"/>
      <c r="MT28" s="6"/>
      <c r="MU28" s="6"/>
      <c r="MV28" s="6"/>
      <c r="MW28" s="6"/>
      <c r="MX28" s="6"/>
      <c r="MY28" s="6"/>
      <c r="MZ28" s="6"/>
      <c r="NA28" s="6"/>
      <c r="NB28" s="6"/>
      <c r="NC28" s="6"/>
      <c r="ND28" s="6"/>
      <c r="NE28" s="6"/>
      <c r="NF28" s="6"/>
      <c r="NG28" s="6"/>
      <c r="NH28" s="6"/>
      <c r="NI28" s="10"/>
      <c r="NJ28" s="17"/>
    </row>
    <row r="29" spans="1:374">
      <c r="A29" s="18">
        <v>6.1</v>
      </c>
      <c r="B29" s="19" t="s">
        <v>47</v>
      </c>
      <c r="C29" s="20">
        <v>43143</v>
      </c>
      <c r="D29" s="20">
        <v>43150</v>
      </c>
      <c r="E29" s="20"/>
      <c r="F29" s="7">
        <f t="shared" si="195"/>
        <v>6</v>
      </c>
      <c r="G29" s="8">
        <f t="shared" ca="1" si="196"/>
        <v>0</v>
      </c>
      <c r="H29" s="8">
        <f t="shared" ca="1" si="197"/>
        <v>6</v>
      </c>
      <c r="I29" s="7">
        <f t="shared" si="198"/>
        <v>0</v>
      </c>
      <c r="J29" s="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  <c r="NF29" s="6"/>
      <c r="NG29" s="6"/>
      <c r="NH29" s="6"/>
      <c r="NI29" s="10"/>
      <c r="NJ29" s="17"/>
    </row>
    <row r="30" spans="1:374">
      <c r="A30" s="18">
        <v>6.2</v>
      </c>
      <c r="B30" s="19" t="s">
        <v>48</v>
      </c>
      <c r="C30" s="20">
        <v>43150</v>
      </c>
      <c r="D30" s="20">
        <v>43171</v>
      </c>
      <c r="E30" s="20"/>
      <c r="F30" s="7">
        <f t="shared" si="195"/>
        <v>16</v>
      </c>
      <c r="G30" s="8">
        <f t="shared" ca="1" si="196"/>
        <v>0</v>
      </c>
      <c r="H30" s="8">
        <f t="shared" ca="1" si="197"/>
        <v>16</v>
      </c>
      <c r="I30" s="7">
        <f t="shared" si="198"/>
        <v>0</v>
      </c>
      <c r="J30" s="9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  <c r="GD30" s="6"/>
      <c r="GE30" s="6"/>
      <c r="GF30" s="6"/>
      <c r="GG30" s="6"/>
      <c r="GH30" s="6"/>
      <c r="GI30" s="6"/>
      <c r="GJ30" s="6"/>
      <c r="GK30" s="6"/>
      <c r="GL30" s="6"/>
      <c r="GM30" s="6"/>
      <c r="GN30" s="6"/>
      <c r="GO30" s="6"/>
      <c r="GP30" s="6"/>
      <c r="GQ30" s="6"/>
      <c r="GR30" s="6"/>
      <c r="GS30" s="6"/>
      <c r="GT30" s="6"/>
      <c r="GU30" s="6"/>
      <c r="GV30" s="6"/>
      <c r="GW30" s="6"/>
      <c r="GX30" s="6"/>
      <c r="GY30" s="6"/>
      <c r="GZ30" s="6"/>
      <c r="HA30" s="6"/>
      <c r="HB30" s="6"/>
      <c r="HC30" s="6"/>
      <c r="HD30" s="6"/>
      <c r="HE30" s="6"/>
      <c r="HF30" s="6"/>
      <c r="HG30" s="6"/>
      <c r="HH30" s="6"/>
      <c r="HI30" s="6"/>
      <c r="HJ30" s="6"/>
      <c r="HK30" s="6"/>
      <c r="HL30" s="6"/>
      <c r="HM30" s="6"/>
      <c r="HN30" s="6"/>
      <c r="HO30" s="6"/>
      <c r="HP30" s="6"/>
      <c r="HQ30" s="6"/>
      <c r="HR30" s="6"/>
      <c r="HS30" s="6"/>
      <c r="HT30" s="6"/>
      <c r="HU30" s="6"/>
      <c r="HV30" s="6"/>
      <c r="HW30" s="6"/>
      <c r="HX30" s="6"/>
      <c r="HY30" s="6"/>
      <c r="HZ30" s="6"/>
      <c r="IA30" s="6"/>
      <c r="IB30" s="6"/>
      <c r="IC30" s="6"/>
      <c r="ID30" s="6"/>
      <c r="IE30" s="6"/>
      <c r="IF30" s="6"/>
      <c r="IG30" s="6"/>
      <c r="IH30" s="6"/>
      <c r="II30" s="6"/>
      <c r="IJ30" s="6"/>
      <c r="IK30" s="6"/>
      <c r="IL30" s="6"/>
      <c r="IM30" s="6"/>
      <c r="IN30" s="6"/>
      <c r="IO30" s="6"/>
      <c r="IP30" s="6"/>
      <c r="IQ30" s="6"/>
      <c r="IR30" s="6"/>
      <c r="IS30" s="6"/>
      <c r="IT30" s="6"/>
      <c r="IU30" s="6"/>
      <c r="IV30" s="6"/>
      <c r="IW30" s="6"/>
      <c r="IX30" s="6"/>
      <c r="IY30" s="6"/>
      <c r="IZ30" s="6"/>
      <c r="JA30" s="6"/>
      <c r="JB30" s="6"/>
      <c r="JC30" s="6"/>
      <c r="JD30" s="6"/>
      <c r="JE30" s="6"/>
      <c r="JF30" s="6"/>
      <c r="JG30" s="6"/>
      <c r="JH30" s="6"/>
      <c r="JI30" s="6"/>
      <c r="JJ30" s="6"/>
      <c r="JK30" s="6"/>
      <c r="JL30" s="6"/>
      <c r="JM30" s="6"/>
      <c r="JN30" s="6"/>
      <c r="JO30" s="6"/>
      <c r="JP30" s="6"/>
      <c r="JQ30" s="6"/>
      <c r="JR30" s="6"/>
      <c r="JS30" s="6"/>
      <c r="JT30" s="6"/>
      <c r="JU30" s="6"/>
      <c r="JV30" s="6"/>
      <c r="JW30" s="6"/>
      <c r="JX30" s="6"/>
      <c r="JY30" s="6"/>
      <c r="JZ30" s="6"/>
      <c r="KA30" s="6"/>
      <c r="KB30" s="6"/>
      <c r="KC30" s="6"/>
      <c r="KD30" s="6"/>
      <c r="KE30" s="6"/>
      <c r="KF30" s="6"/>
      <c r="KG30" s="6"/>
      <c r="KH30" s="6"/>
      <c r="KI30" s="6"/>
      <c r="KJ30" s="6"/>
      <c r="KK30" s="6"/>
      <c r="KL30" s="6"/>
      <c r="KM30" s="6"/>
      <c r="KN30" s="6"/>
      <c r="KO30" s="6"/>
      <c r="KP30" s="6"/>
      <c r="KQ30" s="6"/>
      <c r="KR30" s="6"/>
      <c r="KS30" s="6"/>
      <c r="KT30" s="6"/>
      <c r="KU30" s="6"/>
      <c r="KV30" s="6"/>
      <c r="KW30" s="6"/>
      <c r="KX30" s="6"/>
      <c r="KY30" s="6"/>
      <c r="KZ30" s="6"/>
      <c r="LA30" s="6"/>
      <c r="LB30" s="6"/>
      <c r="LC30" s="6"/>
      <c r="LD30" s="6"/>
      <c r="LE30" s="6"/>
      <c r="LF30" s="6"/>
      <c r="LG30" s="6"/>
      <c r="LH30" s="6"/>
      <c r="LI30" s="6"/>
      <c r="LJ30" s="6"/>
      <c r="LK30" s="6"/>
      <c r="LL30" s="6"/>
      <c r="LM30" s="6"/>
      <c r="LN30" s="6"/>
      <c r="LO30" s="6"/>
      <c r="LP30" s="6"/>
      <c r="LQ30" s="6"/>
      <c r="LR30" s="6"/>
      <c r="LS30" s="6"/>
      <c r="LT30" s="6"/>
      <c r="LU30" s="6"/>
      <c r="LV30" s="6"/>
      <c r="LW30" s="6"/>
      <c r="LX30" s="6"/>
      <c r="LY30" s="6"/>
      <c r="LZ30" s="6"/>
      <c r="MA30" s="6"/>
      <c r="MB30" s="6"/>
      <c r="MC30" s="6"/>
      <c r="MD30" s="6"/>
      <c r="ME30" s="6"/>
      <c r="MF30" s="6"/>
      <c r="MG30" s="6"/>
      <c r="MH30" s="6"/>
      <c r="MI30" s="6"/>
      <c r="MJ30" s="6"/>
      <c r="MK30" s="6"/>
      <c r="ML30" s="6"/>
      <c r="MM30" s="6"/>
      <c r="MN30" s="6"/>
      <c r="MO30" s="6"/>
      <c r="MP30" s="6"/>
      <c r="MQ30" s="6"/>
      <c r="MR30" s="6"/>
      <c r="MS30" s="6"/>
      <c r="MT30" s="6"/>
      <c r="MU30" s="6"/>
      <c r="MV30" s="6"/>
      <c r="MW30" s="6"/>
      <c r="MX30" s="6"/>
      <c r="MY30" s="6"/>
      <c r="MZ30" s="6"/>
      <c r="NA30" s="6"/>
      <c r="NB30" s="6"/>
      <c r="NC30" s="6"/>
      <c r="ND30" s="6"/>
      <c r="NE30" s="6"/>
      <c r="NF30" s="6"/>
      <c r="NG30" s="6"/>
      <c r="NH30" s="6"/>
      <c r="NI30" s="10"/>
      <c r="NJ30" s="17"/>
    </row>
    <row r="31" spans="1:374">
      <c r="A31" s="18">
        <v>6.3</v>
      </c>
      <c r="B31" s="19" t="s">
        <v>49</v>
      </c>
      <c r="C31" s="20">
        <v>43171</v>
      </c>
      <c r="D31" s="20">
        <v>43178</v>
      </c>
      <c r="E31" s="20"/>
      <c r="F31" s="7">
        <f t="shared" si="195"/>
        <v>6</v>
      </c>
      <c r="G31" s="8">
        <f t="shared" ca="1" si="196"/>
        <v>0</v>
      </c>
      <c r="H31" s="8">
        <f t="shared" ca="1" si="197"/>
        <v>6</v>
      </c>
      <c r="I31" s="7">
        <f t="shared" si="198"/>
        <v>0</v>
      </c>
      <c r="J31" s="9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10"/>
      <c r="NJ31" s="17"/>
    </row>
    <row r="32" spans="1:374">
      <c r="A32" s="18">
        <v>6.4</v>
      </c>
      <c r="B32" s="19" t="s">
        <v>50</v>
      </c>
      <c r="C32" s="20">
        <v>43178</v>
      </c>
      <c r="D32" s="20">
        <v>43183</v>
      </c>
      <c r="E32" s="20"/>
      <c r="F32" s="7">
        <f t="shared" si="195"/>
        <v>5</v>
      </c>
      <c r="G32" s="8">
        <f t="shared" ca="1" si="196"/>
        <v>0</v>
      </c>
      <c r="H32" s="8">
        <f t="shared" ca="1" si="197"/>
        <v>5</v>
      </c>
      <c r="I32" s="7">
        <f t="shared" si="198"/>
        <v>0</v>
      </c>
      <c r="J32" s="9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  <c r="GD32" s="6"/>
      <c r="GE32" s="6"/>
      <c r="GF32" s="6"/>
      <c r="GG32" s="6"/>
      <c r="GH32" s="6"/>
      <c r="GI32" s="6"/>
      <c r="GJ32" s="6"/>
      <c r="GK32" s="6"/>
      <c r="GL32" s="6"/>
      <c r="GM32" s="6"/>
      <c r="GN32" s="6"/>
      <c r="GO32" s="6"/>
      <c r="GP32" s="6"/>
      <c r="GQ32" s="6"/>
      <c r="GR32" s="6"/>
      <c r="GS32" s="6"/>
      <c r="GT32" s="6"/>
      <c r="GU32" s="6"/>
      <c r="GV32" s="6"/>
      <c r="GW32" s="6"/>
      <c r="GX32" s="6"/>
      <c r="GY32" s="6"/>
      <c r="GZ32" s="6"/>
      <c r="HA32" s="6"/>
      <c r="HB32" s="6"/>
      <c r="HC32" s="6"/>
      <c r="HD32" s="6"/>
      <c r="HE32" s="6"/>
      <c r="HF32" s="6"/>
      <c r="HG32" s="6"/>
      <c r="HH32" s="6"/>
      <c r="HI32" s="6"/>
      <c r="HJ32" s="6"/>
      <c r="HK32" s="6"/>
      <c r="HL32" s="6"/>
      <c r="HM32" s="6"/>
      <c r="HN32" s="6"/>
      <c r="HO32" s="6"/>
      <c r="HP32" s="6"/>
      <c r="HQ32" s="6"/>
      <c r="HR32" s="6"/>
      <c r="HS32" s="6"/>
      <c r="HT32" s="6"/>
      <c r="HU32" s="6"/>
      <c r="HV32" s="6"/>
      <c r="HW32" s="6"/>
      <c r="HX32" s="6"/>
      <c r="HY32" s="6"/>
      <c r="HZ32" s="6"/>
      <c r="IA32" s="6"/>
      <c r="IB32" s="6"/>
      <c r="IC32" s="6"/>
      <c r="ID32" s="6"/>
      <c r="IE32" s="6"/>
      <c r="IF32" s="6"/>
      <c r="IG32" s="6"/>
      <c r="IH32" s="6"/>
      <c r="II32" s="6"/>
      <c r="IJ32" s="6"/>
      <c r="IK32" s="6"/>
      <c r="IL32" s="6"/>
      <c r="IM32" s="6"/>
      <c r="IN32" s="6"/>
      <c r="IO32" s="6"/>
      <c r="IP32" s="6"/>
      <c r="IQ32" s="6"/>
      <c r="IR32" s="6"/>
      <c r="IS32" s="6"/>
      <c r="IT32" s="6"/>
      <c r="IU32" s="6"/>
      <c r="IV32" s="6"/>
      <c r="IW32" s="6"/>
      <c r="IX32" s="6"/>
      <c r="IY32" s="6"/>
      <c r="IZ32" s="6"/>
      <c r="JA32" s="6"/>
      <c r="JB32" s="6"/>
      <c r="JC32" s="6"/>
      <c r="JD32" s="6"/>
      <c r="JE32" s="6"/>
      <c r="JF32" s="6"/>
      <c r="JG32" s="6"/>
      <c r="JH32" s="6"/>
      <c r="JI32" s="6"/>
      <c r="JJ32" s="6"/>
      <c r="JK32" s="6"/>
      <c r="JL32" s="6"/>
      <c r="JM32" s="6"/>
      <c r="JN32" s="6"/>
      <c r="JO32" s="6"/>
      <c r="JP32" s="6"/>
      <c r="JQ32" s="6"/>
      <c r="JR32" s="6"/>
      <c r="JS32" s="6"/>
      <c r="JT32" s="6"/>
      <c r="JU32" s="6"/>
      <c r="JV32" s="6"/>
      <c r="JW32" s="6"/>
      <c r="JX32" s="6"/>
      <c r="JY32" s="6"/>
      <c r="JZ32" s="6"/>
      <c r="KA32" s="6"/>
      <c r="KB32" s="6"/>
      <c r="KC32" s="6"/>
      <c r="KD32" s="6"/>
      <c r="KE32" s="6"/>
      <c r="KF32" s="6"/>
      <c r="KG32" s="6"/>
      <c r="KH32" s="6"/>
      <c r="KI32" s="6"/>
      <c r="KJ32" s="6"/>
      <c r="KK32" s="6"/>
      <c r="KL32" s="6"/>
      <c r="KM32" s="6"/>
      <c r="KN32" s="6"/>
      <c r="KO32" s="6"/>
      <c r="KP32" s="6"/>
      <c r="KQ32" s="6"/>
      <c r="KR32" s="6"/>
      <c r="KS32" s="6"/>
      <c r="KT32" s="6"/>
      <c r="KU32" s="6"/>
      <c r="KV32" s="6"/>
      <c r="KW32" s="6"/>
      <c r="KX32" s="6"/>
      <c r="KY32" s="6"/>
      <c r="KZ32" s="6"/>
      <c r="LA32" s="6"/>
      <c r="LB32" s="6"/>
      <c r="LC32" s="6"/>
      <c r="LD32" s="6"/>
      <c r="LE32" s="6"/>
      <c r="LF32" s="6"/>
      <c r="LG32" s="6"/>
      <c r="LH32" s="6"/>
      <c r="LI32" s="6"/>
      <c r="LJ32" s="6"/>
      <c r="LK32" s="6"/>
      <c r="LL32" s="6"/>
      <c r="LM32" s="6"/>
      <c r="LN32" s="6"/>
      <c r="LO32" s="6"/>
      <c r="LP32" s="6"/>
      <c r="LQ32" s="6"/>
      <c r="LR32" s="6"/>
      <c r="LS32" s="6"/>
      <c r="LT32" s="6"/>
      <c r="LU32" s="6"/>
      <c r="LV32" s="6"/>
      <c r="LW32" s="6"/>
      <c r="LX32" s="6"/>
      <c r="LY32" s="6"/>
      <c r="LZ32" s="6"/>
      <c r="MA32" s="6"/>
      <c r="MB32" s="6"/>
      <c r="MC32" s="6"/>
      <c r="MD32" s="6"/>
      <c r="ME32" s="6"/>
      <c r="MF32" s="6"/>
      <c r="MG32" s="6"/>
      <c r="MH32" s="6"/>
      <c r="MI32" s="6"/>
      <c r="MJ32" s="6"/>
      <c r="MK32" s="6"/>
      <c r="ML32" s="6"/>
      <c r="MM32" s="6"/>
      <c r="MN32" s="6"/>
      <c r="MO32" s="6"/>
      <c r="MP32" s="6"/>
      <c r="MQ32" s="6"/>
      <c r="MR32" s="6"/>
      <c r="MS32" s="6"/>
      <c r="MT32" s="6"/>
      <c r="MU32" s="6"/>
      <c r="MV32" s="6"/>
      <c r="MW32" s="6"/>
      <c r="MX32" s="6"/>
      <c r="MY32" s="6"/>
      <c r="MZ32" s="6"/>
      <c r="NA32" s="6"/>
      <c r="NB32" s="6"/>
      <c r="NC32" s="6"/>
      <c r="ND32" s="6"/>
      <c r="NE32" s="6"/>
      <c r="NF32" s="6"/>
      <c r="NG32" s="6"/>
      <c r="NH32" s="6"/>
      <c r="NI32" s="10"/>
      <c r="NJ32" s="17"/>
    </row>
    <row r="33" spans="1:374">
      <c r="A33" s="18"/>
      <c r="B33" s="19"/>
      <c r="C33" s="20"/>
      <c r="D33" s="20"/>
      <c r="E33" s="20"/>
      <c r="F33" s="7" t="str">
        <f t="shared" si="195"/>
        <v/>
      </c>
      <c r="G33" s="8" t="str">
        <f t="shared" si="196"/>
        <v/>
      </c>
      <c r="H33" s="8" t="str">
        <f t="shared" si="197"/>
        <v/>
      </c>
      <c r="I33" s="7" t="str">
        <f t="shared" si="198"/>
        <v/>
      </c>
      <c r="J33" s="9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  <c r="GD33" s="6"/>
      <c r="GE33" s="6"/>
      <c r="GF33" s="6"/>
      <c r="GG33" s="6"/>
      <c r="GH33" s="6"/>
      <c r="GI33" s="6"/>
      <c r="GJ33" s="6"/>
      <c r="GK33" s="6"/>
      <c r="GL33" s="6"/>
      <c r="GM33" s="6"/>
      <c r="GN33" s="6"/>
      <c r="GO33" s="6"/>
      <c r="GP33" s="6"/>
      <c r="GQ33" s="6"/>
      <c r="GR33" s="6"/>
      <c r="GS33" s="6"/>
      <c r="GT33" s="6"/>
      <c r="GU33" s="6"/>
      <c r="GV33" s="6"/>
      <c r="GW33" s="6"/>
      <c r="GX33" s="6"/>
      <c r="GY33" s="6"/>
      <c r="GZ33" s="6"/>
      <c r="HA33" s="6"/>
      <c r="HB33" s="6"/>
      <c r="HC33" s="6"/>
      <c r="HD33" s="6"/>
      <c r="HE33" s="6"/>
      <c r="HF33" s="6"/>
      <c r="HG33" s="6"/>
      <c r="HH33" s="6"/>
      <c r="HI33" s="6"/>
      <c r="HJ33" s="6"/>
      <c r="HK33" s="6"/>
      <c r="HL33" s="6"/>
      <c r="HM33" s="6"/>
      <c r="HN33" s="6"/>
      <c r="HO33" s="6"/>
      <c r="HP33" s="6"/>
      <c r="HQ33" s="6"/>
      <c r="HR33" s="6"/>
      <c r="HS33" s="6"/>
      <c r="HT33" s="6"/>
      <c r="HU33" s="6"/>
      <c r="HV33" s="6"/>
      <c r="HW33" s="6"/>
      <c r="HX33" s="6"/>
      <c r="HY33" s="6"/>
      <c r="HZ33" s="6"/>
      <c r="IA33" s="6"/>
      <c r="IB33" s="6"/>
      <c r="IC33" s="6"/>
      <c r="ID33" s="6"/>
      <c r="IE33" s="6"/>
      <c r="IF33" s="6"/>
      <c r="IG33" s="6"/>
      <c r="IH33" s="6"/>
      <c r="II33" s="6"/>
      <c r="IJ33" s="6"/>
      <c r="IK33" s="6"/>
      <c r="IL33" s="6"/>
      <c r="IM33" s="6"/>
      <c r="IN33" s="6"/>
      <c r="IO33" s="6"/>
      <c r="IP33" s="6"/>
      <c r="IQ33" s="6"/>
      <c r="IR33" s="6"/>
      <c r="IS33" s="6"/>
      <c r="IT33" s="6"/>
      <c r="IU33" s="6"/>
      <c r="IV33" s="6"/>
      <c r="IW33" s="6"/>
      <c r="IX33" s="6"/>
      <c r="IY33" s="6"/>
      <c r="IZ33" s="6"/>
      <c r="JA33" s="6"/>
      <c r="JB33" s="6"/>
      <c r="JC33" s="6"/>
      <c r="JD33" s="6"/>
      <c r="JE33" s="6"/>
      <c r="JF33" s="6"/>
      <c r="JG33" s="6"/>
      <c r="JH33" s="6"/>
      <c r="JI33" s="6"/>
      <c r="JJ33" s="6"/>
      <c r="JK33" s="6"/>
      <c r="JL33" s="6"/>
      <c r="JM33" s="6"/>
      <c r="JN33" s="6"/>
      <c r="JO33" s="6"/>
      <c r="JP33" s="6"/>
      <c r="JQ33" s="6"/>
      <c r="JR33" s="6"/>
      <c r="JS33" s="6"/>
      <c r="JT33" s="6"/>
      <c r="JU33" s="6"/>
      <c r="JV33" s="6"/>
      <c r="JW33" s="6"/>
      <c r="JX33" s="6"/>
      <c r="JY33" s="6"/>
      <c r="JZ33" s="6"/>
      <c r="KA33" s="6"/>
      <c r="KB33" s="6"/>
      <c r="KC33" s="6"/>
      <c r="KD33" s="6"/>
      <c r="KE33" s="6"/>
      <c r="KF33" s="6"/>
      <c r="KG33" s="6"/>
      <c r="KH33" s="6"/>
      <c r="KI33" s="6"/>
      <c r="KJ33" s="6"/>
      <c r="KK33" s="6"/>
      <c r="KL33" s="6"/>
      <c r="KM33" s="6"/>
      <c r="KN33" s="6"/>
      <c r="KO33" s="6"/>
      <c r="KP33" s="6"/>
      <c r="KQ33" s="6"/>
      <c r="KR33" s="6"/>
      <c r="KS33" s="6"/>
      <c r="KT33" s="6"/>
      <c r="KU33" s="6"/>
      <c r="KV33" s="6"/>
      <c r="KW33" s="6"/>
      <c r="KX33" s="6"/>
      <c r="KY33" s="6"/>
      <c r="KZ33" s="6"/>
      <c r="LA33" s="6"/>
      <c r="LB33" s="6"/>
      <c r="LC33" s="6"/>
      <c r="LD33" s="6"/>
      <c r="LE33" s="6"/>
      <c r="LF33" s="6"/>
      <c r="LG33" s="6"/>
      <c r="LH33" s="6"/>
      <c r="LI33" s="6"/>
      <c r="LJ33" s="6"/>
      <c r="LK33" s="6"/>
      <c r="LL33" s="6"/>
      <c r="LM33" s="6"/>
      <c r="LN33" s="6"/>
      <c r="LO33" s="6"/>
      <c r="LP33" s="6"/>
      <c r="LQ33" s="6"/>
      <c r="LR33" s="6"/>
      <c r="LS33" s="6"/>
      <c r="LT33" s="6"/>
      <c r="LU33" s="6"/>
      <c r="LV33" s="6"/>
      <c r="LW33" s="6"/>
      <c r="LX33" s="6"/>
      <c r="LY33" s="6"/>
      <c r="LZ33" s="6"/>
      <c r="MA33" s="6"/>
      <c r="MB33" s="6"/>
      <c r="MC33" s="6"/>
      <c r="MD33" s="6"/>
      <c r="ME33" s="6"/>
      <c r="MF33" s="6"/>
      <c r="MG33" s="6"/>
      <c r="MH33" s="6"/>
      <c r="MI33" s="6"/>
      <c r="MJ33" s="6"/>
      <c r="MK33" s="6"/>
      <c r="ML33" s="6"/>
      <c r="MM33" s="6"/>
      <c r="MN33" s="6"/>
      <c r="MO33" s="6"/>
      <c r="MP33" s="6"/>
      <c r="MQ33" s="6"/>
      <c r="MR33" s="6"/>
      <c r="MS33" s="6"/>
      <c r="MT33" s="6"/>
      <c r="MU33" s="6"/>
      <c r="MV33" s="6"/>
      <c r="MW33" s="6"/>
      <c r="MX33" s="6"/>
      <c r="MY33" s="6"/>
      <c r="MZ33" s="6"/>
      <c r="NA33" s="6"/>
      <c r="NB33" s="6"/>
      <c r="NC33" s="6"/>
      <c r="ND33" s="6"/>
      <c r="NE33" s="6"/>
      <c r="NF33" s="6"/>
      <c r="NG33" s="6"/>
      <c r="NH33" s="6"/>
      <c r="NI33" s="10"/>
      <c r="NJ33" s="17"/>
    </row>
    <row r="34" spans="1:374">
      <c r="A34" s="18"/>
      <c r="B34" s="19"/>
      <c r="C34" s="20"/>
      <c r="D34" s="20"/>
      <c r="E34" s="20"/>
      <c r="F34" s="7" t="str">
        <f t="shared" si="195"/>
        <v/>
      </c>
      <c r="G34" s="8" t="str">
        <f t="shared" si="196"/>
        <v/>
      </c>
      <c r="H34" s="8" t="str">
        <f t="shared" si="197"/>
        <v/>
      </c>
      <c r="I34" s="7" t="str">
        <f t="shared" si="198"/>
        <v/>
      </c>
      <c r="J34" s="9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  <c r="GD34" s="6"/>
      <c r="GE34" s="6"/>
      <c r="GF34" s="6"/>
      <c r="GG34" s="6"/>
      <c r="GH34" s="6"/>
      <c r="GI34" s="6"/>
      <c r="GJ34" s="6"/>
      <c r="GK34" s="6"/>
      <c r="GL34" s="6"/>
      <c r="GM34" s="6"/>
      <c r="GN34" s="6"/>
      <c r="GO34" s="6"/>
      <c r="GP34" s="6"/>
      <c r="GQ34" s="6"/>
      <c r="GR34" s="6"/>
      <c r="GS34" s="6"/>
      <c r="GT34" s="6"/>
      <c r="GU34" s="6"/>
      <c r="GV34" s="6"/>
      <c r="GW34" s="6"/>
      <c r="GX34" s="6"/>
      <c r="GY34" s="6"/>
      <c r="GZ34" s="6"/>
      <c r="HA34" s="6"/>
      <c r="HB34" s="6"/>
      <c r="HC34" s="6"/>
      <c r="HD34" s="6"/>
      <c r="HE34" s="6"/>
      <c r="HF34" s="6"/>
      <c r="HG34" s="6"/>
      <c r="HH34" s="6"/>
      <c r="HI34" s="6"/>
      <c r="HJ34" s="6"/>
      <c r="HK34" s="6"/>
      <c r="HL34" s="6"/>
      <c r="HM34" s="6"/>
      <c r="HN34" s="6"/>
      <c r="HO34" s="6"/>
      <c r="HP34" s="6"/>
      <c r="HQ34" s="6"/>
      <c r="HR34" s="6"/>
      <c r="HS34" s="6"/>
      <c r="HT34" s="6"/>
      <c r="HU34" s="6"/>
      <c r="HV34" s="6"/>
      <c r="HW34" s="6"/>
      <c r="HX34" s="6"/>
      <c r="HY34" s="6"/>
      <c r="HZ34" s="6"/>
      <c r="IA34" s="6"/>
      <c r="IB34" s="6"/>
      <c r="IC34" s="6"/>
      <c r="ID34" s="6"/>
      <c r="IE34" s="6"/>
      <c r="IF34" s="6"/>
      <c r="IG34" s="6"/>
      <c r="IH34" s="6"/>
      <c r="II34" s="6"/>
      <c r="IJ34" s="6"/>
      <c r="IK34" s="6"/>
      <c r="IL34" s="6"/>
      <c r="IM34" s="6"/>
      <c r="IN34" s="6"/>
      <c r="IO34" s="6"/>
      <c r="IP34" s="6"/>
      <c r="IQ34" s="6"/>
      <c r="IR34" s="6"/>
      <c r="IS34" s="6"/>
      <c r="IT34" s="6"/>
      <c r="IU34" s="6"/>
      <c r="IV34" s="6"/>
      <c r="IW34" s="6"/>
      <c r="IX34" s="6"/>
      <c r="IY34" s="6"/>
      <c r="IZ34" s="6"/>
      <c r="JA34" s="6"/>
      <c r="JB34" s="6"/>
      <c r="JC34" s="6"/>
      <c r="JD34" s="6"/>
      <c r="JE34" s="6"/>
      <c r="JF34" s="6"/>
      <c r="JG34" s="6"/>
      <c r="JH34" s="6"/>
      <c r="JI34" s="6"/>
      <c r="JJ34" s="6"/>
      <c r="JK34" s="6"/>
      <c r="JL34" s="6"/>
      <c r="JM34" s="6"/>
      <c r="JN34" s="6"/>
      <c r="JO34" s="6"/>
      <c r="JP34" s="6"/>
      <c r="JQ34" s="6"/>
      <c r="JR34" s="6"/>
      <c r="JS34" s="6"/>
      <c r="JT34" s="6"/>
      <c r="JU34" s="6"/>
      <c r="JV34" s="6"/>
      <c r="JW34" s="6"/>
      <c r="JX34" s="6"/>
      <c r="JY34" s="6"/>
      <c r="JZ34" s="6"/>
      <c r="KA34" s="6"/>
      <c r="KB34" s="6"/>
      <c r="KC34" s="6"/>
      <c r="KD34" s="6"/>
      <c r="KE34" s="6"/>
      <c r="KF34" s="6"/>
      <c r="KG34" s="6"/>
      <c r="KH34" s="6"/>
      <c r="KI34" s="6"/>
      <c r="KJ34" s="6"/>
      <c r="KK34" s="6"/>
      <c r="KL34" s="6"/>
      <c r="KM34" s="6"/>
      <c r="KN34" s="6"/>
      <c r="KO34" s="6"/>
      <c r="KP34" s="6"/>
      <c r="KQ34" s="6"/>
      <c r="KR34" s="6"/>
      <c r="KS34" s="6"/>
      <c r="KT34" s="6"/>
      <c r="KU34" s="6"/>
      <c r="KV34" s="6"/>
      <c r="KW34" s="6"/>
      <c r="KX34" s="6"/>
      <c r="KY34" s="6"/>
      <c r="KZ34" s="6"/>
      <c r="LA34" s="6"/>
      <c r="LB34" s="6"/>
      <c r="LC34" s="6"/>
      <c r="LD34" s="6"/>
      <c r="LE34" s="6"/>
      <c r="LF34" s="6"/>
      <c r="LG34" s="6"/>
      <c r="LH34" s="6"/>
      <c r="LI34" s="6"/>
      <c r="LJ34" s="6"/>
      <c r="LK34" s="6"/>
      <c r="LL34" s="6"/>
      <c r="LM34" s="6"/>
      <c r="LN34" s="6"/>
      <c r="LO34" s="6"/>
      <c r="LP34" s="6"/>
      <c r="LQ34" s="6"/>
      <c r="LR34" s="6"/>
      <c r="LS34" s="6"/>
      <c r="LT34" s="6"/>
      <c r="LU34" s="6"/>
      <c r="LV34" s="6"/>
      <c r="LW34" s="6"/>
      <c r="LX34" s="6"/>
      <c r="LY34" s="6"/>
      <c r="LZ34" s="6"/>
      <c r="MA34" s="6"/>
      <c r="MB34" s="6"/>
      <c r="MC34" s="6"/>
      <c r="MD34" s="6"/>
      <c r="ME34" s="6"/>
      <c r="MF34" s="6"/>
      <c r="MG34" s="6"/>
      <c r="MH34" s="6"/>
      <c r="MI34" s="6"/>
      <c r="MJ34" s="6"/>
      <c r="MK34" s="6"/>
      <c r="ML34" s="6"/>
      <c r="MM34" s="6"/>
      <c r="MN34" s="6"/>
      <c r="MO34" s="6"/>
      <c r="MP34" s="6"/>
      <c r="MQ34" s="6"/>
      <c r="MR34" s="6"/>
      <c r="MS34" s="6"/>
      <c r="MT34" s="6"/>
      <c r="MU34" s="6"/>
      <c r="MV34" s="6"/>
      <c r="MW34" s="6"/>
      <c r="MX34" s="6"/>
      <c r="MY34" s="6"/>
      <c r="MZ34" s="6"/>
      <c r="NA34" s="6"/>
      <c r="NB34" s="6"/>
      <c r="NC34" s="6"/>
      <c r="ND34" s="6"/>
      <c r="NE34" s="6"/>
      <c r="NF34" s="6"/>
      <c r="NG34" s="6"/>
      <c r="NH34" s="6"/>
      <c r="NI34" s="10"/>
      <c r="NJ34" s="17"/>
    </row>
    <row r="35" spans="1:374">
      <c r="A35" s="18"/>
      <c r="B35" s="19"/>
      <c r="C35" s="20"/>
      <c r="D35" s="20"/>
      <c r="E35" s="20"/>
      <c r="F35" s="7" t="str">
        <f t="shared" si="195"/>
        <v/>
      </c>
      <c r="G35" s="8" t="str">
        <f t="shared" si="196"/>
        <v/>
      </c>
      <c r="H35" s="8" t="str">
        <f t="shared" si="197"/>
        <v/>
      </c>
      <c r="I35" s="7" t="str">
        <f t="shared" si="198"/>
        <v/>
      </c>
      <c r="J35" s="9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  <c r="GD35" s="6"/>
      <c r="GE35" s="6"/>
      <c r="GF35" s="6"/>
      <c r="GG35" s="6"/>
      <c r="GH35" s="6"/>
      <c r="GI35" s="6"/>
      <c r="GJ35" s="6"/>
      <c r="GK35" s="6"/>
      <c r="GL35" s="6"/>
      <c r="GM35" s="6"/>
      <c r="GN35" s="6"/>
      <c r="GO35" s="6"/>
      <c r="GP35" s="6"/>
      <c r="GQ35" s="6"/>
      <c r="GR35" s="6"/>
      <c r="GS35" s="6"/>
      <c r="GT35" s="6"/>
      <c r="GU35" s="6"/>
      <c r="GV35" s="6"/>
      <c r="GW35" s="6"/>
      <c r="GX35" s="6"/>
      <c r="GY35" s="6"/>
      <c r="GZ35" s="6"/>
      <c r="HA35" s="6"/>
      <c r="HB35" s="6"/>
      <c r="HC35" s="6"/>
      <c r="HD35" s="6"/>
      <c r="HE35" s="6"/>
      <c r="HF35" s="6"/>
      <c r="HG35" s="6"/>
      <c r="HH35" s="6"/>
      <c r="HI35" s="6"/>
      <c r="HJ35" s="6"/>
      <c r="HK35" s="6"/>
      <c r="HL35" s="6"/>
      <c r="HM35" s="6"/>
      <c r="HN35" s="6"/>
      <c r="HO35" s="6"/>
      <c r="HP35" s="6"/>
      <c r="HQ35" s="6"/>
      <c r="HR35" s="6"/>
      <c r="HS35" s="6"/>
      <c r="HT35" s="6"/>
      <c r="HU35" s="6"/>
      <c r="HV35" s="6"/>
      <c r="HW35" s="6"/>
      <c r="HX35" s="6"/>
      <c r="HY35" s="6"/>
      <c r="HZ35" s="6"/>
      <c r="IA35" s="6"/>
      <c r="IB35" s="6"/>
      <c r="IC35" s="6"/>
      <c r="ID35" s="6"/>
      <c r="IE35" s="6"/>
      <c r="IF35" s="6"/>
      <c r="IG35" s="6"/>
      <c r="IH35" s="6"/>
      <c r="II35" s="6"/>
      <c r="IJ35" s="6"/>
      <c r="IK35" s="6"/>
      <c r="IL35" s="6"/>
      <c r="IM35" s="6"/>
      <c r="IN35" s="6"/>
      <c r="IO35" s="6"/>
      <c r="IP35" s="6"/>
      <c r="IQ35" s="6"/>
      <c r="IR35" s="6"/>
      <c r="IS35" s="6"/>
      <c r="IT35" s="6"/>
      <c r="IU35" s="6"/>
      <c r="IV35" s="6"/>
      <c r="IW35" s="6"/>
      <c r="IX35" s="6"/>
      <c r="IY35" s="6"/>
      <c r="IZ35" s="6"/>
      <c r="JA35" s="6"/>
      <c r="JB35" s="6"/>
      <c r="JC35" s="6"/>
      <c r="JD35" s="6"/>
      <c r="JE35" s="6"/>
      <c r="JF35" s="6"/>
      <c r="JG35" s="6"/>
      <c r="JH35" s="6"/>
      <c r="JI35" s="6"/>
      <c r="JJ35" s="6"/>
      <c r="JK35" s="6"/>
      <c r="JL35" s="6"/>
      <c r="JM35" s="6"/>
      <c r="JN35" s="6"/>
      <c r="JO35" s="6"/>
      <c r="JP35" s="6"/>
      <c r="JQ35" s="6"/>
      <c r="JR35" s="6"/>
      <c r="JS35" s="6"/>
      <c r="JT35" s="6"/>
      <c r="JU35" s="6"/>
      <c r="JV35" s="6"/>
      <c r="JW35" s="6"/>
      <c r="JX35" s="6"/>
      <c r="JY35" s="6"/>
      <c r="JZ35" s="6"/>
      <c r="KA35" s="6"/>
      <c r="KB35" s="6"/>
      <c r="KC35" s="6"/>
      <c r="KD35" s="6"/>
      <c r="KE35" s="6"/>
      <c r="KF35" s="6"/>
      <c r="KG35" s="6"/>
      <c r="KH35" s="6"/>
      <c r="KI35" s="6"/>
      <c r="KJ35" s="6"/>
      <c r="KK35" s="6"/>
      <c r="KL35" s="6"/>
      <c r="KM35" s="6"/>
      <c r="KN35" s="6"/>
      <c r="KO35" s="6"/>
      <c r="KP35" s="6"/>
      <c r="KQ35" s="6"/>
      <c r="KR35" s="6"/>
      <c r="KS35" s="6"/>
      <c r="KT35" s="6"/>
      <c r="KU35" s="6"/>
      <c r="KV35" s="6"/>
      <c r="KW35" s="6"/>
      <c r="KX35" s="6"/>
      <c r="KY35" s="6"/>
      <c r="KZ35" s="6"/>
      <c r="LA35" s="6"/>
      <c r="LB35" s="6"/>
      <c r="LC35" s="6"/>
      <c r="LD35" s="6"/>
      <c r="LE35" s="6"/>
      <c r="LF35" s="6"/>
      <c r="LG35" s="6"/>
      <c r="LH35" s="6"/>
      <c r="LI35" s="6"/>
      <c r="LJ35" s="6"/>
      <c r="LK35" s="6"/>
      <c r="LL35" s="6"/>
      <c r="LM35" s="6"/>
      <c r="LN35" s="6"/>
      <c r="LO35" s="6"/>
      <c r="LP35" s="6"/>
      <c r="LQ35" s="6"/>
      <c r="LR35" s="6"/>
      <c r="LS35" s="6"/>
      <c r="LT35" s="6"/>
      <c r="LU35" s="6"/>
      <c r="LV35" s="6"/>
      <c r="LW35" s="6"/>
      <c r="LX35" s="6"/>
      <c r="LY35" s="6"/>
      <c r="LZ35" s="6"/>
      <c r="MA35" s="6"/>
      <c r="MB35" s="6"/>
      <c r="MC35" s="6"/>
      <c r="MD35" s="6"/>
      <c r="ME35" s="6"/>
      <c r="MF35" s="6"/>
      <c r="MG35" s="6"/>
      <c r="MH35" s="6"/>
      <c r="MI35" s="6"/>
      <c r="MJ35" s="6"/>
      <c r="MK35" s="6"/>
      <c r="ML35" s="6"/>
      <c r="MM35" s="6"/>
      <c r="MN35" s="6"/>
      <c r="MO35" s="6"/>
      <c r="MP35" s="6"/>
      <c r="MQ35" s="6"/>
      <c r="MR35" s="6"/>
      <c r="MS35" s="6"/>
      <c r="MT35" s="6"/>
      <c r="MU35" s="6"/>
      <c r="MV35" s="6"/>
      <c r="MW35" s="6"/>
      <c r="MX35" s="6"/>
      <c r="MY35" s="6"/>
      <c r="MZ35" s="6"/>
      <c r="NA35" s="6"/>
      <c r="NB35" s="6"/>
      <c r="NC35" s="6"/>
      <c r="ND35" s="6"/>
      <c r="NE35" s="6"/>
      <c r="NF35" s="6"/>
      <c r="NG35" s="6"/>
      <c r="NH35" s="6"/>
      <c r="NI35" s="10"/>
      <c r="NJ35" s="17"/>
    </row>
    <row r="36" spans="1:374">
      <c r="A36" s="18"/>
      <c r="B36" s="19"/>
      <c r="C36" s="20"/>
      <c r="D36" s="20"/>
      <c r="E36" s="20"/>
      <c r="F36" s="7" t="str">
        <f t="shared" si="195"/>
        <v/>
      </c>
      <c r="G36" s="8" t="str">
        <f t="shared" si="196"/>
        <v/>
      </c>
      <c r="H36" s="8" t="str">
        <f t="shared" si="197"/>
        <v/>
      </c>
      <c r="I36" s="7" t="str">
        <f t="shared" si="198"/>
        <v/>
      </c>
      <c r="J36" s="9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  <c r="GD36" s="6"/>
      <c r="GE36" s="6"/>
      <c r="GF36" s="6"/>
      <c r="GG36" s="6"/>
      <c r="GH36" s="6"/>
      <c r="GI36" s="6"/>
      <c r="GJ36" s="6"/>
      <c r="GK36" s="6"/>
      <c r="GL36" s="6"/>
      <c r="GM36" s="6"/>
      <c r="GN36" s="6"/>
      <c r="GO36" s="6"/>
      <c r="GP36" s="6"/>
      <c r="GQ36" s="6"/>
      <c r="GR36" s="6"/>
      <c r="GS36" s="6"/>
      <c r="GT36" s="6"/>
      <c r="GU36" s="6"/>
      <c r="GV36" s="6"/>
      <c r="GW36" s="6"/>
      <c r="GX36" s="6"/>
      <c r="GY36" s="6"/>
      <c r="GZ36" s="6"/>
      <c r="HA36" s="6"/>
      <c r="HB36" s="6"/>
      <c r="HC36" s="6"/>
      <c r="HD36" s="6"/>
      <c r="HE36" s="6"/>
      <c r="HF36" s="6"/>
      <c r="HG36" s="6"/>
      <c r="HH36" s="6"/>
      <c r="HI36" s="6"/>
      <c r="HJ36" s="6"/>
      <c r="HK36" s="6"/>
      <c r="HL36" s="6"/>
      <c r="HM36" s="6"/>
      <c r="HN36" s="6"/>
      <c r="HO36" s="6"/>
      <c r="HP36" s="6"/>
      <c r="HQ36" s="6"/>
      <c r="HR36" s="6"/>
      <c r="HS36" s="6"/>
      <c r="HT36" s="6"/>
      <c r="HU36" s="6"/>
      <c r="HV36" s="6"/>
      <c r="HW36" s="6"/>
      <c r="HX36" s="6"/>
      <c r="HY36" s="6"/>
      <c r="HZ36" s="6"/>
      <c r="IA36" s="6"/>
      <c r="IB36" s="6"/>
      <c r="IC36" s="6"/>
      <c r="ID36" s="6"/>
      <c r="IE36" s="6"/>
      <c r="IF36" s="6"/>
      <c r="IG36" s="6"/>
      <c r="IH36" s="6"/>
      <c r="II36" s="6"/>
      <c r="IJ36" s="6"/>
      <c r="IK36" s="6"/>
      <c r="IL36" s="6"/>
      <c r="IM36" s="6"/>
      <c r="IN36" s="6"/>
      <c r="IO36" s="6"/>
      <c r="IP36" s="6"/>
      <c r="IQ36" s="6"/>
      <c r="IR36" s="6"/>
      <c r="IS36" s="6"/>
      <c r="IT36" s="6"/>
      <c r="IU36" s="6"/>
      <c r="IV36" s="6"/>
      <c r="IW36" s="6"/>
      <c r="IX36" s="6"/>
      <c r="IY36" s="6"/>
      <c r="IZ36" s="6"/>
      <c r="JA36" s="6"/>
      <c r="JB36" s="6"/>
      <c r="JC36" s="6"/>
      <c r="JD36" s="6"/>
      <c r="JE36" s="6"/>
      <c r="JF36" s="6"/>
      <c r="JG36" s="6"/>
      <c r="JH36" s="6"/>
      <c r="JI36" s="6"/>
      <c r="JJ36" s="6"/>
      <c r="JK36" s="6"/>
      <c r="JL36" s="6"/>
      <c r="JM36" s="6"/>
      <c r="JN36" s="6"/>
      <c r="JO36" s="6"/>
      <c r="JP36" s="6"/>
      <c r="JQ36" s="6"/>
      <c r="JR36" s="6"/>
      <c r="JS36" s="6"/>
      <c r="JT36" s="6"/>
      <c r="JU36" s="6"/>
      <c r="JV36" s="6"/>
      <c r="JW36" s="6"/>
      <c r="JX36" s="6"/>
      <c r="JY36" s="6"/>
      <c r="JZ36" s="6"/>
      <c r="KA36" s="6"/>
      <c r="KB36" s="6"/>
      <c r="KC36" s="6"/>
      <c r="KD36" s="6"/>
      <c r="KE36" s="6"/>
      <c r="KF36" s="6"/>
      <c r="KG36" s="6"/>
      <c r="KH36" s="6"/>
      <c r="KI36" s="6"/>
      <c r="KJ36" s="6"/>
      <c r="KK36" s="6"/>
      <c r="KL36" s="6"/>
      <c r="KM36" s="6"/>
      <c r="KN36" s="6"/>
      <c r="KO36" s="6"/>
      <c r="KP36" s="6"/>
      <c r="KQ36" s="6"/>
      <c r="KR36" s="6"/>
      <c r="KS36" s="6"/>
      <c r="KT36" s="6"/>
      <c r="KU36" s="6"/>
      <c r="KV36" s="6"/>
      <c r="KW36" s="6"/>
      <c r="KX36" s="6"/>
      <c r="KY36" s="6"/>
      <c r="KZ36" s="6"/>
      <c r="LA36" s="6"/>
      <c r="LB36" s="6"/>
      <c r="LC36" s="6"/>
      <c r="LD36" s="6"/>
      <c r="LE36" s="6"/>
      <c r="LF36" s="6"/>
      <c r="LG36" s="6"/>
      <c r="LH36" s="6"/>
      <c r="LI36" s="6"/>
      <c r="LJ36" s="6"/>
      <c r="LK36" s="6"/>
      <c r="LL36" s="6"/>
      <c r="LM36" s="6"/>
      <c r="LN36" s="6"/>
      <c r="LO36" s="6"/>
      <c r="LP36" s="6"/>
      <c r="LQ36" s="6"/>
      <c r="LR36" s="6"/>
      <c r="LS36" s="6"/>
      <c r="LT36" s="6"/>
      <c r="LU36" s="6"/>
      <c r="LV36" s="6"/>
      <c r="LW36" s="6"/>
      <c r="LX36" s="6"/>
      <c r="LY36" s="6"/>
      <c r="LZ36" s="6"/>
      <c r="MA36" s="6"/>
      <c r="MB36" s="6"/>
      <c r="MC36" s="6"/>
      <c r="MD36" s="6"/>
      <c r="ME36" s="6"/>
      <c r="MF36" s="6"/>
      <c r="MG36" s="6"/>
      <c r="MH36" s="6"/>
      <c r="MI36" s="6"/>
      <c r="MJ36" s="6"/>
      <c r="MK36" s="6"/>
      <c r="ML36" s="6"/>
      <c r="MM36" s="6"/>
      <c r="MN36" s="6"/>
      <c r="MO36" s="6"/>
      <c r="MP36" s="6"/>
      <c r="MQ36" s="6"/>
      <c r="MR36" s="6"/>
      <c r="MS36" s="6"/>
      <c r="MT36" s="6"/>
      <c r="MU36" s="6"/>
      <c r="MV36" s="6"/>
      <c r="MW36" s="6"/>
      <c r="MX36" s="6"/>
      <c r="MY36" s="6"/>
      <c r="MZ36" s="6"/>
      <c r="NA36" s="6"/>
      <c r="NB36" s="6"/>
      <c r="NC36" s="6"/>
      <c r="ND36" s="6"/>
      <c r="NE36" s="6"/>
      <c r="NF36" s="6"/>
      <c r="NG36" s="6"/>
      <c r="NH36" s="6"/>
      <c r="NI36" s="10"/>
      <c r="NJ36" s="17"/>
    </row>
    <row r="37" spans="1:374">
      <c r="A37" s="18"/>
      <c r="B37" s="19"/>
      <c r="C37" s="20"/>
      <c r="D37" s="20"/>
      <c r="E37" s="20"/>
      <c r="F37" s="7" t="str">
        <f t="shared" si="195"/>
        <v/>
      </c>
      <c r="G37" s="8" t="str">
        <f t="shared" si="196"/>
        <v/>
      </c>
      <c r="H37" s="8" t="str">
        <f t="shared" si="197"/>
        <v/>
      </c>
      <c r="I37" s="7" t="str">
        <f t="shared" si="198"/>
        <v/>
      </c>
      <c r="J37" s="9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  <c r="GD37" s="6"/>
      <c r="GE37" s="6"/>
      <c r="GF37" s="6"/>
      <c r="GG37" s="6"/>
      <c r="GH37" s="6"/>
      <c r="GI37" s="6"/>
      <c r="GJ37" s="6"/>
      <c r="GK37" s="6"/>
      <c r="GL37" s="6"/>
      <c r="GM37" s="6"/>
      <c r="GN37" s="6"/>
      <c r="GO37" s="6"/>
      <c r="GP37" s="6"/>
      <c r="GQ37" s="6"/>
      <c r="GR37" s="6"/>
      <c r="GS37" s="6"/>
      <c r="GT37" s="6"/>
      <c r="GU37" s="6"/>
      <c r="GV37" s="6"/>
      <c r="GW37" s="6"/>
      <c r="GX37" s="6"/>
      <c r="GY37" s="6"/>
      <c r="GZ37" s="6"/>
      <c r="HA37" s="6"/>
      <c r="HB37" s="6"/>
      <c r="HC37" s="6"/>
      <c r="HD37" s="6"/>
      <c r="HE37" s="6"/>
      <c r="HF37" s="6"/>
      <c r="HG37" s="6"/>
      <c r="HH37" s="6"/>
      <c r="HI37" s="6"/>
      <c r="HJ37" s="6"/>
      <c r="HK37" s="6"/>
      <c r="HL37" s="6"/>
      <c r="HM37" s="6"/>
      <c r="HN37" s="6"/>
      <c r="HO37" s="6"/>
      <c r="HP37" s="6"/>
      <c r="HQ37" s="6"/>
      <c r="HR37" s="6"/>
      <c r="HS37" s="6"/>
      <c r="HT37" s="6"/>
      <c r="HU37" s="6"/>
      <c r="HV37" s="6"/>
      <c r="HW37" s="6"/>
      <c r="HX37" s="6"/>
      <c r="HY37" s="6"/>
      <c r="HZ37" s="6"/>
      <c r="IA37" s="6"/>
      <c r="IB37" s="6"/>
      <c r="IC37" s="6"/>
      <c r="ID37" s="6"/>
      <c r="IE37" s="6"/>
      <c r="IF37" s="6"/>
      <c r="IG37" s="6"/>
      <c r="IH37" s="6"/>
      <c r="II37" s="6"/>
      <c r="IJ37" s="6"/>
      <c r="IK37" s="6"/>
      <c r="IL37" s="6"/>
      <c r="IM37" s="6"/>
      <c r="IN37" s="6"/>
      <c r="IO37" s="6"/>
      <c r="IP37" s="6"/>
      <c r="IQ37" s="6"/>
      <c r="IR37" s="6"/>
      <c r="IS37" s="6"/>
      <c r="IT37" s="6"/>
      <c r="IU37" s="6"/>
      <c r="IV37" s="6"/>
      <c r="IW37" s="6"/>
      <c r="IX37" s="6"/>
      <c r="IY37" s="6"/>
      <c r="IZ37" s="6"/>
      <c r="JA37" s="6"/>
      <c r="JB37" s="6"/>
      <c r="JC37" s="6"/>
      <c r="JD37" s="6"/>
      <c r="JE37" s="6"/>
      <c r="JF37" s="6"/>
      <c r="JG37" s="6"/>
      <c r="JH37" s="6"/>
      <c r="JI37" s="6"/>
      <c r="JJ37" s="6"/>
      <c r="JK37" s="6"/>
      <c r="JL37" s="6"/>
      <c r="JM37" s="6"/>
      <c r="JN37" s="6"/>
      <c r="JO37" s="6"/>
      <c r="JP37" s="6"/>
      <c r="JQ37" s="6"/>
      <c r="JR37" s="6"/>
      <c r="JS37" s="6"/>
      <c r="JT37" s="6"/>
      <c r="JU37" s="6"/>
      <c r="JV37" s="6"/>
      <c r="JW37" s="6"/>
      <c r="JX37" s="6"/>
      <c r="JY37" s="6"/>
      <c r="JZ37" s="6"/>
      <c r="KA37" s="6"/>
      <c r="KB37" s="6"/>
      <c r="KC37" s="6"/>
      <c r="KD37" s="6"/>
      <c r="KE37" s="6"/>
      <c r="KF37" s="6"/>
      <c r="KG37" s="6"/>
      <c r="KH37" s="6"/>
      <c r="KI37" s="6"/>
      <c r="KJ37" s="6"/>
      <c r="KK37" s="6"/>
      <c r="KL37" s="6"/>
      <c r="KM37" s="6"/>
      <c r="KN37" s="6"/>
      <c r="KO37" s="6"/>
      <c r="KP37" s="6"/>
      <c r="KQ37" s="6"/>
      <c r="KR37" s="6"/>
      <c r="KS37" s="6"/>
      <c r="KT37" s="6"/>
      <c r="KU37" s="6"/>
      <c r="KV37" s="6"/>
      <c r="KW37" s="6"/>
      <c r="KX37" s="6"/>
      <c r="KY37" s="6"/>
      <c r="KZ37" s="6"/>
      <c r="LA37" s="6"/>
      <c r="LB37" s="6"/>
      <c r="LC37" s="6"/>
      <c r="LD37" s="6"/>
      <c r="LE37" s="6"/>
      <c r="LF37" s="6"/>
      <c r="LG37" s="6"/>
      <c r="LH37" s="6"/>
      <c r="LI37" s="6"/>
      <c r="LJ37" s="6"/>
      <c r="LK37" s="6"/>
      <c r="LL37" s="6"/>
      <c r="LM37" s="6"/>
      <c r="LN37" s="6"/>
      <c r="LO37" s="6"/>
      <c r="LP37" s="6"/>
      <c r="LQ37" s="6"/>
      <c r="LR37" s="6"/>
      <c r="LS37" s="6"/>
      <c r="LT37" s="6"/>
      <c r="LU37" s="6"/>
      <c r="LV37" s="6"/>
      <c r="LW37" s="6"/>
      <c r="LX37" s="6"/>
      <c r="LY37" s="6"/>
      <c r="LZ37" s="6"/>
      <c r="MA37" s="6"/>
      <c r="MB37" s="6"/>
      <c r="MC37" s="6"/>
      <c r="MD37" s="6"/>
      <c r="ME37" s="6"/>
      <c r="MF37" s="6"/>
      <c r="MG37" s="6"/>
      <c r="MH37" s="6"/>
      <c r="MI37" s="6"/>
      <c r="MJ37" s="6"/>
      <c r="MK37" s="6"/>
      <c r="ML37" s="6"/>
      <c r="MM37" s="6"/>
      <c r="MN37" s="6"/>
      <c r="MO37" s="6"/>
      <c r="MP37" s="6"/>
      <c r="MQ37" s="6"/>
      <c r="MR37" s="6"/>
      <c r="MS37" s="6"/>
      <c r="MT37" s="6"/>
      <c r="MU37" s="6"/>
      <c r="MV37" s="6"/>
      <c r="MW37" s="6"/>
      <c r="MX37" s="6"/>
      <c r="MY37" s="6"/>
      <c r="MZ37" s="6"/>
      <c r="NA37" s="6"/>
      <c r="NB37" s="6"/>
      <c r="NC37" s="6"/>
      <c r="ND37" s="6"/>
      <c r="NE37" s="6"/>
      <c r="NF37" s="6"/>
      <c r="NG37" s="6"/>
      <c r="NH37" s="6"/>
      <c r="NI37" s="10"/>
      <c r="NJ37" s="17"/>
    </row>
    <row r="38" spans="1:374">
      <c r="A38" s="18"/>
      <c r="B38" s="19"/>
      <c r="C38" s="20"/>
      <c r="D38" s="20"/>
      <c r="E38" s="20"/>
      <c r="F38" s="7" t="str">
        <f t="shared" si="195"/>
        <v/>
      </c>
      <c r="G38" s="8" t="str">
        <f t="shared" si="196"/>
        <v/>
      </c>
      <c r="H38" s="8" t="str">
        <f t="shared" si="197"/>
        <v/>
      </c>
      <c r="I38" s="7" t="str">
        <f t="shared" si="198"/>
        <v/>
      </c>
      <c r="J38" s="9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  <c r="GD38" s="6"/>
      <c r="GE38" s="6"/>
      <c r="GF38" s="6"/>
      <c r="GG38" s="6"/>
      <c r="GH38" s="6"/>
      <c r="GI38" s="6"/>
      <c r="GJ38" s="6"/>
      <c r="GK38" s="6"/>
      <c r="GL38" s="6"/>
      <c r="GM38" s="6"/>
      <c r="GN38" s="6"/>
      <c r="GO38" s="6"/>
      <c r="GP38" s="6"/>
      <c r="GQ38" s="6"/>
      <c r="GR38" s="6"/>
      <c r="GS38" s="6"/>
      <c r="GT38" s="6"/>
      <c r="GU38" s="6"/>
      <c r="GV38" s="6"/>
      <c r="GW38" s="6"/>
      <c r="GX38" s="6"/>
      <c r="GY38" s="6"/>
      <c r="GZ38" s="6"/>
      <c r="HA38" s="6"/>
      <c r="HB38" s="6"/>
      <c r="HC38" s="6"/>
      <c r="HD38" s="6"/>
      <c r="HE38" s="6"/>
      <c r="HF38" s="6"/>
      <c r="HG38" s="6"/>
      <c r="HH38" s="6"/>
      <c r="HI38" s="6"/>
      <c r="HJ38" s="6"/>
      <c r="HK38" s="6"/>
      <c r="HL38" s="6"/>
      <c r="HM38" s="6"/>
      <c r="HN38" s="6"/>
      <c r="HO38" s="6"/>
      <c r="HP38" s="6"/>
      <c r="HQ38" s="6"/>
      <c r="HR38" s="6"/>
      <c r="HS38" s="6"/>
      <c r="HT38" s="6"/>
      <c r="HU38" s="6"/>
      <c r="HV38" s="6"/>
      <c r="HW38" s="6"/>
      <c r="HX38" s="6"/>
      <c r="HY38" s="6"/>
      <c r="HZ38" s="6"/>
      <c r="IA38" s="6"/>
      <c r="IB38" s="6"/>
      <c r="IC38" s="6"/>
      <c r="ID38" s="6"/>
      <c r="IE38" s="6"/>
      <c r="IF38" s="6"/>
      <c r="IG38" s="6"/>
      <c r="IH38" s="6"/>
      <c r="II38" s="6"/>
      <c r="IJ38" s="6"/>
      <c r="IK38" s="6"/>
      <c r="IL38" s="6"/>
      <c r="IM38" s="6"/>
      <c r="IN38" s="6"/>
      <c r="IO38" s="6"/>
      <c r="IP38" s="6"/>
      <c r="IQ38" s="6"/>
      <c r="IR38" s="6"/>
      <c r="IS38" s="6"/>
      <c r="IT38" s="6"/>
      <c r="IU38" s="6"/>
      <c r="IV38" s="6"/>
      <c r="IW38" s="6"/>
      <c r="IX38" s="6"/>
      <c r="IY38" s="6"/>
      <c r="IZ38" s="6"/>
      <c r="JA38" s="6"/>
      <c r="JB38" s="6"/>
      <c r="JC38" s="6"/>
      <c r="JD38" s="6"/>
      <c r="JE38" s="6"/>
      <c r="JF38" s="6"/>
      <c r="JG38" s="6"/>
      <c r="JH38" s="6"/>
      <c r="JI38" s="6"/>
      <c r="JJ38" s="6"/>
      <c r="JK38" s="6"/>
      <c r="JL38" s="6"/>
      <c r="JM38" s="6"/>
      <c r="JN38" s="6"/>
      <c r="JO38" s="6"/>
      <c r="JP38" s="6"/>
      <c r="JQ38" s="6"/>
      <c r="JR38" s="6"/>
      <c r="JS38" s="6"/>
      <c r="JT38" s="6"/>
      <c r="JU38" s="6"/>
      <c r="JV38" s="6"/>
      <c r="JW38" s="6"/>
      <c r="JX38" s="6"/>
      <c r="JY38" s="6"/>
      <c r="JZ38" s="6"/>
      <c r="KA38" s="6"/>
      <c r="KB38" s="6"/>
      <c r="KC38" s="6"/>
      <c r="KD38" s="6"/>
      <c r="KE38" s="6"/>
      <c r="KF38" s="6"/>
      <c r="KG38" s="6"/>
      <c r="KH38" s="6"/>
      <c r="KI38" s="6"/>
      <c r="KJ38" s="6"/>
      <c r="KK38" s="6"/>
      <c r="KL38" s="6"/>
      <c r="KM38" s="6"/>
      <c r="KN38" s="6"/>
      <c r="KO38" s="6"/>
      <c r="KP38" s="6"/>
      <c r="KQ38" s="6"/>
      <c r="KR38" s="6"/>
      <c r="KS38" s="6"/>
      <c r="KT38" s="6"/>
      <c r="KU38" s="6"/>
      <c r="KV38" s="6"/>
      <c r="KW38" s="6"/>
      <c r="KX38" s="6"/>
      <c r="KY38" s="6"/>
      <c r="KZ38" s="6"/>
      <c r="LA38" s="6"/>
      <c r="LB38" s="6"/>
      <c r="LC38" s="6"/>
      <c r="LD38" s="6"/>
      <c r="LE38" s="6"/>
      <c r="LF38" s="6"/>
      <c r="LG38" s="6"/>
      <c r="LH38" s="6"/>
      <c r="LI38" s="6"/>
      <c r="LJ38" s="6"/>
      <c r="LK38" s="6"/>
      <c r="LL38" s="6"/>
      <c r="LM38" s="6"/>
      <c r="LN38" s="6"/>
      <c r="LO38" s="6"/>
      <c r="LP38" s="6"/>
      <c r="LQ38" s="6"/>
      <c r="LR38" s="6"/>
      <c r="LS38" s="6"/>
      <c r="LT38" s="6"/>
      <c r="LU38" s="6"/>
      <c r="LV38" s="6"/>
      <c r="LW38" s="6"/>
      <c r="LX38" s="6"/>
      <c r="LY38" s="6"/>
      <c r="LZ38" s="6"/>
      <c r="MA38" s="6"/>
      <c r="MB38" s="6"/>
      <c r="MC38" s="6"/>
      <c r="MD38" s="6"/>
      <c r="ME38" s="6"/>
      <c r="MF38" s="6"/>
      <c r="MG38" s="6"/>
      <c r="MH38" s="6"/>
      <c r="MI38" s="6"/>
      <c r="MJ38" s="6"/>
      <c r="MK38" s="6"/>
      <c r="ML38" s="6"/>
      <c r="MM38" s="6"/>
      <c r="MN38" s="6"/>
      <c r="MO38" s="6"/>
      <c r="MP38" s="6"/>
      <c r="MQ38" s="6"/>
      <c r="MR38" s="6"/>
      <c r="MS38" s="6"/>
      <c r="MT38" s="6"/>
      <c r="MU38" s="6"/>
      <c r="MV38" s="6"/>
      <c r="MW38" s="6"/>
      <c r="MX38" s="6"/>
      <c r="MY38" s="6"/>
      <c r="MZ38" s="6"/>
      <c r="NA38" s="6"/>
      <c r="NB38" s="6"/>
      <c r="NC38" s="6"/>
      <c r="ND38" s="6"/>
      <c r="NE38" s="6"/>
      <c r="NF38" s="6"/>
      <c r="NG38" s="6"/>
      <c r="NH38" s="6"/>
      <c r="NI38" s="10"/>
      <c r="NJ38" s="17"/>
    </row>
    <row r="39" spans="1:374">
      <c r="A39" s="18"/>
      <c r="B39" s="19"/>
      <c r="C39" s="20"/>
      <c r="D39" s="20"/>
      <c r="E39" s="20"/>
      <c r="F39" s="7" t="str">
        <f t="shared" si="195"/>
        <v/>
      </c>
      <c r="G39" s="8" t="str">
        <f t="shared" si="196"/>
        <v/>
      </c>
      <c r="H39" s="8" t="str">
        <f t="shared" si="197"/>
        <v/>
      </c>
      <c r="I39" s="7" t="str">
        <f t="shared" si="198"/>
        <v/>
      </c>
      <c r="J39" s="9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  <c r="GS39" s="6"/>
      <c r="GT39" s="6"/>
      <c r="GU39" s="6"/>
      <c r="GV39" s="6"/>
      <c r="GW39" s="6"/>
      <c r="GX39" s="6"/>
      <c r="GY39" s="6"/>
      <c r="GZ39" s="6"/>
      <c r="HA39" s="6"/>
      <c r="HB39" s="6"/>
      <c r="HC39" s="6"/>
      <c r="HD39" s="6"/>
      <c r="HE39" s="6"/>
      <c r="HF39" s="6"/>
      <c r="HG39" s="6"/>
      <c r="HH39" s="6"/>
      <c r="HI39" s="6"/>
      <c r="HJ39" s="6"/>
      <c r="HK39" s="6"/>
      <c r="HL39" s="6"/>
      <c r="HM39" s="6"/>
      <c r="HN39" s="6"/>
      <c r="HO39" s="6"/>
      <c r="HP39" s="6"/>
      <c r="HQ39" s="6"/>
      <c r="HR39" s="6"/>
      <c r="HS39" s="6"/>
      <c r="HT39" s="6"/>
      <c r="HU39" s="6"/>
      <c r="HV39" s="6"/>
      <c r="HW39" s="6"/>
      <c r="HX39" s="6"/>
      <c r="HY39" s="6"/>
      <c r="HZ39" s="6"/>
      <c r="IA39" s="6"/>
      <c r="IB39" s="6"/>
      <c r="IC39" s="6"/>
      <c r="ID39" s="6"/>
      <c r="IE39" s="6"/>
      <c r="IF39" s="6"/>
      <c r="IG39" s="6"/>
      <c r="IH39" s="6"/>
      <c r="II39" s="6"/>
      <c r="IJ39" s="6"/>
      <c r="IK39" s="6"/>
      <c r="IL39" s="6"/>
      <c r="IM39" s="6"/>
      <c r="IN39" s="6"/>
      <c r="IO39" s="6"/>
      <c r="IP39" s="6"/>
      <c r="IQ39" s="6"/>
      <c r="IR39" s="6"/>
      <c r="IS39" s="6"/>
      <c r="IT39" s="6"/>
      <c r="IU39" s="6"/>
      <c r="IV39" s="6"/>
      <c r="IW39" s="6"/>
      <c r="IX39" s="6"/>
      <c r="IY39" s="6"/>
      <c r="IZ39" s="6"/>
      <c r="JA39" s="6"/>
      <c r="JB39" s="6"/>
      <c r="JC39" s="6"/>
      <c r="JD39" s="6"/>
      <c r="JE39" s="6"/>
      <c r="JF39" s="6"/>
      <c r="JG39" s="6"/>
      <c r="JH39" s="6"/>
      <c r="JI39" s="6"/>
      <c r="JJ39" s="6"/>
      <c r="JK39" s="6"/>
      <c r="JL39" s="6"/>
      <c r="JM39" s="6"/>
      <c r="JN39" s="6"/>
      <c r="JO39" s="6"/>
      <c r="JP39" s="6"/>
      <c r="JQ39" s="6"/>
      <c r="JR39" s="6"/>
      <c r="JS39" s="6"/>
      <c r="JT39" s="6"/>
      <c r="JU39" s="6"/>
      <c r="JV39" s="6"/>
      <c r="JW39" s="6"/>
      <c r="JX39" s="6"/>
      <c r="JY39" s="6"/>
      <c r="JZ39" s="6"/>
      <c r="KA39" s="6"/>
      <c r="KB39" s="6"/>
      <c r="KC39" s="6"/>
      <c r="KD39" s="6"/>
      <c r="KE39" s="6"/>
      <c r="KF39" s="6"/>
      <c r="KG39" s="6"/>
      <c r="KH39" s="6"/>
      <c r="KI39" s="6"/>
      <c r="KJ39" s="6"/>
      <c r="KK39" s="6"/>
      <c r="KL39" s="6"/>
      <c r="KM39" s="6"/>
      <c r="KN39" s="6"/>
      <c r="KO39" s="6"/>
      <c r="KP39" s="6"/>
      <c r="KQ39" s="6"/>
      <c r="KR39" s="6"/>
      <c r="KS39" s="6"/>
      <c r="KT39" s="6"/>
      <c r="KU39" s="6"/>
      <c r="KV39" s="6"/>
      <c r="KW39" s="6"/>
      <c r="KX39" s="6"/>
      <c r="KY39" s="6"/>
      <c r="KZ39" s="6"/>
      <c r="LA39" s="6"/>
      <c r="LB39" s="6"/>
      <c r="LC39" s="6"/>
      <c r="LD39" s="6"/>
      <c r="LE39" s="6"/>
      <c r="LF39" s="6"/>
      <c r="LG39" s="6"/>
      <c r="LH39" s="6"/>
      <c r="LI39" s="6"/>
      <c r="LJ39" s="6"/>
      <c r="LK39" s="6"/>
      <c r="LL39" s="6"/>
      <c r="LM39" s="6"/>
      <c r="LN39" s="6"/>
      <c r="LO39" s="6"/>
      <c r="LP39" s="6"/>
      <c r="LQ39" s="6"/>
      <c r="LR39" s="6"/>
      <c r="LS39" s="6"/>
      <c r="LT39" s="6"/>
      <c r="LU39" s="6"/>
      <c r="LV39" s="6"/>
      <c r="LW39" s="6"/>
      <c r="LX39" s="6"/>
      <c r="LY39" s="6"/>
      <c r="LZ39" s="6"/>
      <c r="MA39" s="6"/>
      <c r="MB39" s="6"/>
      <c r="MC39" s="6"/>
      <c r="MD39" s="6"/>
      <c r="ME39" s="6"/>
      <c r="MF39" s="6"/>
      <c r="MG39" s="6"/>
      <c r="MH39" s="6"/>
      <c r="MI39" s="6"/>
      <c r="MJ39" s="6"/>
      <c r="MK39" s="6"/>
      <c r="ML39" s="6"/>
      <c r="MM39" s="6"/>
      <c r="MN39" s="6"/>
      <c r="MO39" s="6"/>
      <c r="MP39" s="6"/>
      <c r="MQ39" s="6"/>
      <c r="MR39" s="6"/>
      <c r="MS39" s="6"/>
      <c r="MT39" s="6"/>
      <c r="MU39" s="6"/>
      <c r="MV39" s="6"/>
      <c r="MW39" s="6"/>
      <c r="MX39" s="6"/>
      <c r="MY39" s="6"/>
      <c r="MZ39" s="6"/>
      <c r="NA39" s="6"/>
      <c r="NB39" s="6"/>
      <c r="NC39" s="6"/>
      <c r="ND39" s="6"/>
      <c r="NE39" s="6"/>
      <c r="NF39" s="6"/>
      <c r="NG39" s="6"/>
      <c r="NH39" s="6"/>
      <c r="NI39" s="10"/>
      <c r="NJ39" s="17"/>
    </row>
    <row r="40" spans="1:374">
      <c r="A40" s="18"/>
      <c r="B40" s="19"/>
      <c r="C40" s="20"/>
      <c r="D40" s="20"/>
      <c r="E40" s="20"/>
      <c r="F40" s="7" t="str">
        <f t="shared" si="195"/>
        <v/>
      </c>
      <c r="G40" s="8" t="str">
        <f t="shared" si="196"/>
        <v/>
      </c>
      <c r="H40" s="8" t="str">
        <f t="shared" si="197"/>
        <v/>
      </c>
      <c r="I40" s="7" t="str">
        <f t="shared" si="198"/>
        <v/>
      </c>
      <c r="J40" s="9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  <c r="GD40" s="6"/>
      <c r="GE40" s="6"/>
      <c r="GF40" s="6"/>
      <c r="GG40" s="6"/>
      <c r="GH40" s="6"/>
      <c r="GI40" s="6"/>
      <c r="GJ40" s="6"/>
      <c r="GK40" s="6"/>
      <c r="GL40" s="6"/>
      <c r="GM40" s="6"/>
      <c r="GN40" s="6"/>
      <c r="GO40" s="6"/>
      <c r="GP40" s="6"/>
      <c r="GQ40" s="6"/>
      <c r="GR40" s="6"/>
      <c r="GS40" s="6"/>
      <c r="GT40" s="6"/>
      <c r="GU40" s="6"/>
      <c r="GV40" s="6"/>
      <c r="GW40" s="6"/>
      <c r="GX40" s="6"/>
      <c r="GY40" s="6"/>
      <c r="GZ40" s="6"/>
      <c r="HA40" s="6"/>
      <c r="HB40" s="6"/>
      <c r="HC40" s="6"/>
      <c r="HD40" s="6"/>
      <c r="HE40" s="6"/>
      <c r="HF40" s="6"/>
      <c r="HG40" s="6"/>
      <c r="HH40" s="6"/>
      <c r="HI40" s="6"/>
      <c r="HJ40" s="6"/>
      <c r="HK40" s="6"/>
      <c r="HL40" s="6"/>
      <c r="HM40" s="6"/>
      <c r="HN40" s="6"/>
      <c r="HO40" s="6"/>
      <c r="HP40" s="6"/>
      <c r="HQ40" s="6"/>
      <c r="HR40" s="6"/>
      <c r="HS40" s="6"/>
      <c r="HT40" s="6"/>
      <c r="HU40" s="6"/>
      <c r="HV40" s="6"/>
      <c r="HW40" s="6"/>
      <c r="HX40" s="6"/>
      <c r="HY40" s="6"/>
      <c r="HZ40" s="6"/>
      <c r="IA40" s="6"/>
      <c r="IB40" s="6"/>
      <c r="IC40" s="6"/>
      <c r="ID40" s="6"/>
      <c r="IE40" s="6"/>
      <c r="IF40" s="6"/>
      <c r="IG40" s="6"/>
      <c r="IH40" s="6"/>
      <c r="II40" s="6"/>
      <c r="IJ40" s="6"/>
      <c r="IK40" s="6"/>
      <c r="IL40" s="6"/>
      <c r="IM40" s="6"/>
      <c r="IN40" s="6"/>
      <c r="IO40" s="6"/>
      <c r="IP40" s="6"/>
      <c r="IQ40" s="6"/>
      <c r="IR40" s="6"/>
      <c r="IS40" s="6"/>
      <c r="IT40" s="6"/>
      <c r="IU40" s="6"/>
      <c r="IV40" s="6"/>
      <c r="IW40" s="6"/>
      <c r="IX40" s="6"/>
      <c r="IY40" s="6"/>
      <c r="IZ40" s="6"/>
      <c r="JA40" s="6"/>
      <c r="JB40" s="6"/>
      <c r="JC40" s="6"/>
      <c r="JD40" s="6"/>
      <c r="JE40" s="6"/>
      <c r="JF40" s="6"/>
      <c r="JG40" s="6"/>
      <c r="JH40" s="6"/>
      <c r="JI40" s="6"/>
      <c r="JJ40" s="6"/>
      <c r="JK40" s="6"/>
      <c r="JL40" s="6"/>
      <c r="JM40" s="6"/>
      <c r="JN40" s="6"/>
      <c r="JO40" s="6"/>
      <c r="JP40" s="6"/>
      <c r="JQ40" s="6"/>
      <c r="JR40" s="6"/>
      <c r="JS40" s="6"/>
      <c r="JT40" s="6"/>
      <c r="JU40" s="6"/>
      <c r="JV40" s="6"/>
      <c r="JW40" s="6"/>
      <c r="JX40" s="6"/>
      <c r="JY40" s="6"/>
      <c r="JZ40" s="6"/>
      <c r="KA40" s="6"/>
      <c r="KB40" s="6"/>
      <c r="KC40" s="6"/>
      <c r="KD40" s="6"/>
      <c r="KE40" s="6"/>
      <c r="KF40" s="6"/>
      <c r="KG40" s="6"/>
      <c r="KH40" s="6"/>
      <c r="KI40" s="6"/>
      <c r="KJ40" s="6"/>
      <c r="KK40" s="6"/>
      <c r="KL40" s="6"/>
      <c r="KM40" s="6"/>
      <c r="KN40" s="6"/>
      <c r="KO40" s="6"/>
      <c r="KP40" s="6"/>
      <c r="KQ40" s="6"/>
      <c r="KR40" s="6"/>
      <c r="KS40" s="6"/>
      <c r="KT40" s="6"/>
      <c r="KU40" s="6"/>
      <c r="KV40" s="6"/>
      <c r="KW40" s="6"/>
      <c r="KX40" s="6"/>
      <c r="KY40" s="6"/>
      <c r="KZ40" s="6"/>
      <c r="LA40" s="6"/>
      <c r="LB40" s="6"/>
      <c r="LC40" s="6"/>
      <c r="LD40" s="6"/>
      <c r="LE40" s="6"/>
      <c r="LF40" s="6"/>
      <c r="LG40" s="6"/>
      <c r="LH40" s="6"/>
      <c r="LI40" s="6"/>
      <c r="LJ40" s="6"/>
      <c r="LK40" s="6"/>
      <c r="LL40" s="6"/>
      <c r="LM40" s="6"/>
      <c r="LN40" s="6"/>
      <c r="LO40" s="6"/>
      <c r="LP40" s="6"/>
      <c r="LQ40" s="6"/>
      <c r="LR40" s="6"/>
      <c r="LS40" s="6"/>
      <c r="LT40" s="6"/>
      <c r="LU40" s="6"/>
      <c r="LV40" s="6"/>
      <c r="LW40" s="6"/>
      <c r="LX40" s="6"/>
      <c r="LY40" s="6"/>
      <c r="LZ40" s="6"/>
      <c r="MA40" s="6"/>
      <c r="MB40" s="6"/>
      <c r="MC40" s="6"/>
      <c r="MD40" s="6"/>
      <c r="ME40" s="6"/>
      <c r="MF40" s="6"/>
      <c r="MG40" s="6"/>
      <c r="MH40" s="6"/>
      <c r="MI40" s="6"/>
      <c r="MJ40" s="6"/>
      <c r="MK40" s="6"/>
      <c r="ML40" s="6"/>
      <c r="MM40" s="6"/>
      <c r="MN40" s="6"/>
      <c r="MO40" s="6"/>
      <c r="MP40" s="6"/>
      <c r="MQ40" s="6"/>
      <c r="MR40" s="6"/>
      <c r="MS40" s="6"/>
      <c r="MT40" s="6"/>
      <c r="MU40" s="6"/>
      <c r="MV40" s="6"/>
      <c r="MW40" s="6"/>
      <c r="MX40" s="6"/>
      <c r="MY40" s="6"/>
      <c r="MZ40" s="6"/>
      <c r="NA40" s="6"/>
      <c r="NB40" s="6"/>
      <c r="NC40" s="6"/>
      <c r="ND40" s="6"/>
      <c r="NE40" s="6"/>
      <c r="NF40" s="6"/>
      <c r="NG40" s="6"/>
      <c r="NH40" s="6"/>
      <c r="NI40" s="10"/>
      <c r="NJ40" s="17"/>
    </row>
    <row r="41" spans="1:374">
      <c r="A41" s="18"/>
      <c r="B41" s="19"/>
      <c r="C41" s="20"/>
      <c r="D41" s="20"/>
      <c r="E41" s="20"/>
      <c r="F41" s="7" t="str">
        <f t="shared" si="195"/>
        <v/>
      </c>
      <c r="G41" s="8" t="str">
        <f t="shared" si="196"/>
        <v/>
      </c>
      <c r="H41" s="8" t="str">
        <f t="shared" si="197"/>
        <v/>
      </c>
      <c r="I41" s="7" t="str">
        <f t="shared" si="198"/>
        <v/>
      </c>
      <c r="J41" s="9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  <c r="GD41" s="6"/>
      <c r="GE41" s="6"/>
      <c r="GF41" s="6"/>
      <c r="GG41" s="6"/>
      <c r="GH41" s="6"/>
      <c r="GI41" s="6"/>
      <c r="GJ41" s="6"/>
      <c r="GK41" s="6"/>
      <c r="GL41" s="6"/>
      <c r="GM41" s="6"/>
      <c r="GN41" s="6"/>
      <c r="GO41" s="6"/>
      <c r="GP41" s="6"/>
      <c r="GQ41" s="6"/>
      <c r="GR41" s="6"/>
      <c r="GS41" s="6"/>
      <c r="GT41" s="6"/>
      <c r="GU41" s="6"/>
      <c r="GV41" s="6"/>
      <c r="GW41" s="6"/>
      <c r="GX41" s="6"/>
      <c r="GY41" s="6"/>
      <c r="GZ41" s="6"/>
      <c r="HA41" s="6"/>
      <c r="HB41" s="6"/>
      <c r="HC41" s="6"/>
      <c r="HD41" s="6"/>
      <c r="HE41" s="6"/>
      <c r="HF41" s="6"/>
      <c r="HG41" s="6"/>
      <c r="HH41" s="6"/>
      <c r="HI41" s="6"/>
      <c r="HJ41" s="6"/>
      <c r="HK41" s="6"/>
      <c r="HL41" s="6"/>
      <c r="HM41" s="6"/>
      <c r="HN41" s="6"/>
      <c r="HO41" s="6"/>
      <c r="HP41" s="6"/>
      <c r="HQ41" s="6"/>
      <c r="HR41" s="6"/>
      <c r="HS41" s="6"/>
      <c r="HT41" s="6"/>
      <c r="HU41" s="6"/>
      <c r="HV41" s="6"/>
      <c r="HW41" s="6"/>
      <c r="HX41" s="6"/>
      <c r="HY41" s="6"/>
      <c r="HZ41" s="6"/>
      <c r="IA41" s="6"/>
      <c r="IB41" s="6"/>
      <c r="IC41" s="6"/>
      <c r="ID41" s="6"/>
      <c r="IE41" s="6"/>
      <c r="IF41" s="6"/>
      <c r="IG41" s="6"/>
      <c r="IH41" s="6"/>
      <c r="II41" s="6"/>
      <c r="IJ41" s="6"/>
      <c r="IK41" s="6"/>
      <c r="IL41" s="6"/>
      <c r="IM41" s="6"/>
      <c r="IN41" s="6"/>
      <c r="IO41" s="6"/>
      <c r="IP41" s="6"/>
      <c r="IQ41" s="6"/>
      <c r="IR41" s="6"/>
      <c r="IS41" s="6"/>
      <c r="IT41" s="6"/>
      <c r="IU41" s="6"/>
      <c r="IV41" s="6"/>
      <c r="IW41" s="6"/>
      <c r="IX41" s="6"/>
      <c r="IY41" s="6"/>
      <c r="IZ41" s="6"/>
      <c r="JA41" s="6"/>
      <c r="JB41" s="6"/>
      <c r="JC41" s="6"/>
      <c r="JD41" s="6"/>
      <c r="JE41" s="6"/>
      <c r="JF41" s="6"/>
      <c r="JG41" s="6"/>
      <c r="JH41" s="6"/>
      <c r="JI41" s="6"/>
      <c r="JJ41" s="6"/>
      <c r="JK41" s="6"/>
      <c r="JL41" s="6"/>
      <c r="JM41" s="6"/>
      <c r="JN41" s="6"/>
      <c r="JO41" s="6"/>
      <c r="JP41" s="6"/>
      <c r="JQ41" s="6"/>
      <c r="JR41" s="6"/>
      <c r="JS41" s="6"/>
      <c r="JT41" s="6"/>
      <c r="JU41" s="6"/>
      <c r="JV41" s="6"/>
      <c r="JW41" s="6"/>
      <c r="JX41" s="6"/>
      <c r="JY41" s="6"/>
      <c r="JZ41" s="6"/>
      <c r="KA41" s="6"/>
      <c r="KB41" s="6"/>
      <c r="KC41" s="6"/>
      <c r="KD41" s="6"/>
      <c r="KE41" s="6"/>
      <c r="KF41" s="6"/>
      <c r="KG41" s="6"/>
      <c r="KH41" s="6"/>
      <c r="KI41" s="6"/>
      <c r="KJ41" s="6"/>
      <c r="KK41" s="6"/>
      <c r="KL41" s="6"/>
      <c r="KM41" s="6"/>
      <c r="KN41" s="6"/>
      <c r="KO41" s="6"/>
      <c r="KP41" s="6"/>
      <c r="KQ41" s="6"/>
      <c r="KR41" s="6"/>
      <c r="KS41" s="6"/>
      <c r="KT41" s="6"/>
      <c r="KU41" s="6"/>
      <c r="KV41" s="6"/>
      <c r="KW41" s="6"/>
      <c r="KX41" s="6"/>
      <c r="KY41" s="6"/>
      <c r="KZ41" s="6"/>
      <c r="LA41" s="6"/>
      <c r="LB41" s="6"/>
      <c r="LC41" s="6"/>
      <c r="LD41" s="6"/>
      <c r="LE41" s="6"/>
      <c r="LF41" s="6"/>
      <c r="LG41" s="6"/>
      <c r="LH41" s="6"/>
      <c r="LI41" s="6"/>
      <c r="LJ41" s="6"/>
      <c r="LK41" s="6"/>
      <c r="LL41" s="6"/>
      <c r="LM41" s="6"/>
      <c r="LN41" s="6"/>
      <c r="LO41" s="6"/>
      <c r="LP41" s="6"/>
      <c r="LQ41" s="6"/>
      <c r="LR41" s="6"/>
      <c r="LS41" s="6"/>
      <c r="LT41" s="6"/>
      <c r="LU41" s="6"/>
      <c r="LV41" s="6"/>
      <c r="LW41" s="6"/>
      <c r="LX41" s="6"/>
      <c r="LY41" s="6"/>
      <c r="LZ41" s="6"/>
      <c r="MA41" s="6"/>
      <c r="MB41" s="6"/>
      <c r="MC41" s="6"/>
      <c r="MD41" s="6"/>
      <c r="ME41" s="6"/>
      <c r="MF41" s="6"/>
      <c r="MG41" s="6"/>
      <c r="MH41" s="6"/>
      <c r="MI41" s="6"/>
      <c r="MJ41" s="6"/>
      <c r="MK41" s="6"/>
      <c r="ML41" s="6"/>
      <c r="MM41" s="6"/>
      <c r="MN41" s="6"/>
      <c r="MO41" s="6"/>
      <c r="MP41" s="6"/>
      <c r="MQ41" s="6"/>
      <c r="MR41" s="6"/>
      <c r="MS41" s="6"/>
      <c r="MT41" s="6"/>
      <c r="MU41" s="6"/>
      <c r="MV41" s="6"/>
      <c r="MW41" s="6"/>
      <c r="MX41" s="6"/>
      <c r="MY41" s="6"/>
      <c r="MZ41" s="6"/>
      <c r="NA41" s="6"/>
      <c r="NB41" s="6"/>
      <c r="NC41" s="6"/>
      <c r="ND41" s="6"/>
      <c r="NE41" s="6"/>
      <c r="NF41" s="6"/>
      <c r="NG41" s="6"/>
      <c r="NH41" s="6"/>
      <c r="NI41" s="10"/>
      <c r="NJ41" s="17"/>
    </row>
    <row r="42" spans="1:374">
      <c r="A42" s="18"/>
      <c r="B42" s="19"/>
      <c r="C42" s="20"/>
      <c r="D42" s="20"/>
      <c r="E42" s="20"/>
      <c r="F42" s="7" t="str">
        <f t="shared" si="195"/>
        <v/>
      </c>
      <c r="G42" s="8" t="str">
        <f t="shared" si="196"/>
        <v/>
      </c>
      <c r="H42" s="8" t="str">
        <f t="shared" si="197"/>
        <v/>
      </c>
      <c r="I42" s="7" t="str">
        <f t="shared" si="198"/>
        <v/>
      </c>
      <c r="J42" s="9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  <c r="GD42" s="6"/>
      <c r="GE42" s="6"/>
      <c r="GF42" s="6"/>
      <c r="GG42" s="6"/>
      <c r="GH42" s="6"/>
      <c r="GI42" s="6"/>
      <c r="GJ42" s="6"/>
      <c r="GK42" s="6"/>
      <c r="GL42" s="6"/>
      <c r="GM42" s="6"/>
      <c r="GN42" s="6"/>
      <c r="GO42" s="6"/>
      <c r="GP42" s="6"/>
      <c r="GQ42" s="6"/>
      <c r="GR42" s="6"/>
      <c r="GS42" s="6"/>
      <c r="GT42" s="6"/>
      <c r="GU42" s="6"/>
      <c r="GV42" s="6"/>
      <c r="GW42" s="6"/>
      <c r="GX42" s="6"/>
      <c r="GY42" s="6"/>
      <c r="GZ42" s="6"/>
      <c r="HA42" s="6"/>
      <c r="HB42" s="6"/>
      <c r="HC42" s="6"/>
      <c r="HD42" s="6"/>
      <c r="HE42" s="6"/>
      <c r="HF42" s="6"/>
      <c r="HG42" s="6"/>
      <c r="HH42" s="6"/>
      <c r="HI42" s="6"/>
      <c r="HJ42" s="6"/>
      <c r="HK42" s="6"/>
      <c r="HL42" s="6"/>
      <c r="HM42" s="6"/>
      <c r="HN42" s="6"/>
      <c r="HO42" s="6"/>
      <c r="HP42" s="6"/>
      <c r="HQ42" s="6"/>
      <c r="HR42" s="6"/>
      <c r="HS42" s="6"/>
      <c r="HT42" s="6"/>
      <c r="HU42" s="6"/>
      <c r="HV42" s="6"/>
      <c r="HW42" s="6"/>
      <c r="HX42" s="6"/>
      <c r="HY42" s="6"/>
      <c r="HZ42" s="6"/>
      <c r="IA42" s="6"/>
      <c r="IB42" s="6"/>
      <c r="IC42" s="6"/>
      <c r="ID42" s="6"/>
      <c r="IE42" s="6"/>
      <c r="IF42" s="6"/>
      <c r="IG42" s="6"/>
      <c r="IH42" s="6"/>
      <c r="II42" s="6"/>
      <c r="IJ42" s="6"/>
      <c r="IK42" s="6"/>
      <c r="IL42" s="6"/>
      <c r="IM42" s="6"/>
      <c r="IN42" s="6"/>
      <c r="IO42" s="6"/>
      <c r="IP42" s="6"/>
      <c r="IQ42" s="6"/>
      <c r="IR42" s="6"/>
      <c r="IS42" s="6"/>
      <c r="IT42" s="6"/>
      <c r="IU42" s="6"/>
      <c r="IV42" s="6"/>
      <c r="IW42" s="6"/>
      <c r="IX42" s="6"/>
      <c r="IY42" s="6"/>
      <c r="IZ42" s="6"/>
      <c r="JA42" s="6"/>
      <c r="JB42" s="6"/>
      <c r="JC42" s="6"/>
      <c r="JD42" s="6"/>
      <c r="JE42" s="6"/>
      <c r="JF42" s="6"/>
      <c r="JG42" s="6"/>
      <c r="JH42" s="6"/>
      <c r="JI42" s="6"/>
      <c r="JJ42" s="6"/>
      <c r="JK42" s="6"/>
      <c r="JL42" s="6"/>
      <c r="JM42" s="6"/>
      <c r="JN42" s="6"/>
      <c r="JO42" s="6"/>
      <c r="JP42" s="6"/>
      <c r="JQ42" s="6"/>
      <c r="JR42" s="6"/>
      <c r="JS42" s="6"/>
      <c r="JT42" s="6"/>
      <c r="JU42" s="6"/>
      <c r="JV42" s="6"/>
      <c r="JW42" s="6"/>
      <c r="JX42" s="6"/>
      <c r="JY42" s="6"/>
      <c r="JZ42" s="6"/>
      <c r="KA42" s="6"/>
      <c r="KB42" s="6"/>
      <c r="KC42" s="6"/>
      <c r="KD42" s="6"/>
      <c r="KE42" s="6"/>
      <c r="KF42" s="6"/>
      <c r="KG42" s="6"/>
      <c r="KH42" s="6"/>
      <c r="KI42" s="6"/>
      <c r="KJ42" s="6"/>
      <c r="KK42" s="6"/>
      <c r="KL42" s="6"/>
      <c r="KM42" s="6"/>
      <c r="KN42" s="6"/>
      <c r="KO42" s="6"/>
      <c r="KP42" s="6"/>
      <c r="KQ42" s="6"/>
      <c r="KR42" s="6"/>
      <c r="KS42" s="6"/>
      <c r="KT42" s="6"/>
      <c r="KU42" s="6"/>
      <c r="KV42" s="6"/>
      <c r="KW42" s="6"/>
      <c r="KX42" s="6"/>
      <c r="KY42" s="6"/>
      <c r="KZ42" s="6"/>
      <c r="LA42" s="6"/>
      <c r="LB42" s="6"/>
      <c r="LC42" s="6"/>
      <c r="LD42" s="6"/>
      <c r="LE42" s="6"/>
      <c r="LF42" s="6"/>
      <c r="LG42" s="6"/>
      <c r="LH42" s="6"/>
      <c r="LI42" s="6"/>
      <c r="LJ42" s="6"/>
      <c r="LK42" s="6"/>
      <c r="LL42" s="6"/>
      <c r="LM42" s="6"/>
      <c r="LN42" s="6"/>
      <c r="LO42" s="6"/>
      <c r="LP42" s="6"/>
      <c r="LQ42" s="6"/>
      <c r="LR42" s="6"/>
      <c r="LS42" s="6"/>
      <c r="LT42" s="6"/>
      <c r="LU42" s="6"/>
      <c r="LV42" s="6"/>
      <c r="LW42" s="6"/>
      <c r="LX42" s="6"/>
      <c r="LY42" s="6"/>
      <c r="LZ42" s="6"/>
      <c r="MA42" s="6"/>
      <c r="MB42" s="6"/>
      <c r="MC42" s="6"/>
      <c r="MD42" s="6"/>
      <c r="ME42" s="6"/>
      <c r="MF42" s="6"/>
      <c r="MG42" s="6"/>
      <c r="MH42" s="6"/>
      <c r="MI42" s="6"/>
      <c r="MJ42" s="6"/>
      <c r="MK42" s="6"/>
      <c r="ML42" s="6"/>
      <c r="MM42" s="6"/>
      <c r="MN42" s="6"/>
      <c r="MO42" s="6"/>
      <c r="MP42" s="6"/>
      <c r="MQ42" s="6"/>
      <c r="MR42" s="6"/>
      <c r="MS42" s="6"/>
      <c r="MT42" s="6"/>
      <c r="MU42" s="6"/>
      <c r="MV42" s="6"/>
      <c r="MW42" s="6"/>
      <c r="MX42" s="6"/>
      <c r="MY42" s="6"/>
      <c r="MZ42" s="6"/>
      <c r="NA42" s="6"/>
      <c r="NB42" s="6"/>
      <c r="NC42" s="6"/>
      <c r="ND42" s="6"/>
      <c r="NE42" s="6"/>
      <c r="NF42" s="6"/>
      <c r="NG42" s="6"/>
      <c r="NH42" s="6"/>
      <c r="NI42" s="10"/>
      <c r="NJ42" s="17"/>
    </row>
    <row r="43" spans="1:374">
      <c r="A43" s="18"/>
      <c r="B43" s="19"/>
      <c r="C43" s="20"/>
      <c r="D43" s="20"/>
      <c r="E43" s="20"/>
      <c r="F43" s="7" t="str">
        <f t="shared" si="195"/>
        <v/>
      </c>
      <c r="G43" s="8" t="str">
        <f t="shared" si="196"/>
        <v/>
      </c>
      <c r="H43" s="8" t="str">
        <f t="shared" si="197"/>
        <v/>
      </c>
      <c r="I43" s="7" t="str">
        <f t="shared" si="198"/>
        <v/>
      </c>
      <c r="J43" s="9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  <c r="GD43" s="6"/>
      <c r="GE43" s="6"/>
      <c r="GF43" s="6"/>
      <c r="GG43" s="6"/>
      <c r="GH43" s="6"/>
      <c r="GI43" s="6"/>
      <c r="GJ43" s="6"/>
      <c r="GK43" s="6"/>
      <c r="GL43" s="6"/>
      <c r="GM43" s="6"/>
      <c r="GN43" s="6"/>
      <c r="GO43" s="6"/>
      <c r="GP43" s="6"/>
      <c r="GQ43" s="6"/>
      <c r="GR43" s="6"/>
      <c r="GS43" s="6"/>
      <c r="GT43" s="6"/>
      <c r="GU43" s="6"/>
      <c r="GV43" s="6"/>
      <c r="GW43" s="6"/>
      <c r="GX43" s="6"/>
      <c r="GY43" s="6"/>
      <c r="GZ43" s="6"/>
      <c r="HA43" s="6"/>
      <c r="HB43" s="6"/>
      <c r="HC43" s="6"/>
      <c r="HD43" s="6"/>
      <c r="HE43" s="6"/>
      <c r="HF43" s="6"/>
      <c r="HG43" s="6"/>
      <c r="HH43" s="6"/>
      <c r="HI43" s="6"/>
      <c r="HJ43" s="6"/>
      <c r="HK43" s="6"/>
      <c r="HL43" s="6"/>
      <c r="HM43" s="6"/>
      <c r="HN43" s="6"/>
      <c r="HO43" s="6"/>
      <c r="HP43" s="6"/>
      <c r="HQ43" s="6"/>
      <c r="HR43" s="6"/>
      <c r="HS43" s="6"/>
      <c r="HT43" s="6"/>
      <c r="HU43" s="6"/>
      <c r="HV43" s="6"/>
      <c r="HW43" s="6"/>
      <c r="HX43" s="6"/>
      <c r="HY43" s="6"/>
      <c r="HZ43" s="6"/>
      <c r="IA43" s="6"/>
      <c r="IB43" s="6"/>
      <c r="IC43" s="6"/>
      <c r="ID43" s="6"/>
      <c r="IE43" s="6"/>
      <c r="IF43" s="6"/>
      <c r="IG43" s="6"/>
      <c r="IH43" s="6"/>
      <c r="II43" s="6"/>
      <c r="IJ43" s="6"/>
      <c r="IK43" s="6"/>
      <c r="IL43" s="6"/>
      <c r="IM43" s="6"/>
      <c r="IN43" s="6"/>
      <c r="IO43" s="6"/>
      <c r="IP43" s="6"/>
      <c r="IQ43" s="6"/>
      <c r="IR43" s="6"/>
      <c r="IS43" s="6"/>
      <c r="IT43" s="6"/>
      <c r="IU43" s="6"/>
      <c r="IV43" s="6"/>
      <c r="IW43" s="6"/>
      <c r="IX43" s="6"/>
      <c r="IY43" s="6"/>
      <c r="IZ43" s="6"/>
      <c r="JA43" s="6"/>
      <c r="JB43" s="6"/>
      <c r="JC43" s="6"/>
      <c r="JD43" s="6"/>
      <c r="JE43" s="6"/>
      <c r="JF43" s="6"/>
      <c r="JG43" s="6"/>
      <c r="JH43" s="6"/>
      <c r="JI43" s="6"/>
      <c r="JJ43" s="6"/>
      <c r="JK43" s="6"/>
      <c r="JL43" s="6"/>
      <c r="JM43" s="6"/>
      <c r="JN43" s="6"/>
      <c r="JO43" s="6"/>
      <c r="JP43" s="6"/>
      <c r="JQ43" s="6"/>
      <c r="JR43" s="6"/>
      <c r="JS43" s="6"/>
      <c r="JT43" s="6"/>
      <c r="JU43" s="6"/>
      <c r="JV43" s="6"/>
      <c r="JW43" s="6"/>
      <c r="JX43" s="6"/>
      <c r="JY43" s="6"/>
      <c r="JZ43" s="6"/>
      <c r="KA43" s="6"/>
      <c r="KB43" s="6"/>
      <c r="KC43" s="6"/>
      <c r="KD43" s="6"/>
      <c r="KE43" s="6"/>
      <c r="KF43" s="6"/>
      <c r="KG43" s="6"/>
      <c r="KH43" s="6"/>
      <c r="KI43" s="6"/>
      <c r="KJ43" s="6"/>
      <c r="KK43" s="6"/>
      <c r="KL43" s="6"/>
      <c r="KM43" s="6"/>
      <c r="KN43" s="6"/>
      <c r="KO43" s="6"/>
      <c r="KP43" s="6"/>
      <c r="KQ43" s="6"/>
      <c r="KR43" s="6"/>
      <c r="KS43" s="6"/>
      <c r="KT43" s="6"/>
      <c r="KU43" s="6"/>
      <c r="KV43" s="6"/>
      <c r="KW43" s="6"/>
      <c r="KX43" s="6"/>
      <c r="KY43" s="6"/>
      <c r="KZ43" s="6"/>
      <c r="LA43" s="6"/>
      <c r="LB43" s="6"/>
      <c r="LC43" s="6"/>
      <c r="LD43" s="6"/>
      <c r="LE43" s="6"/>
      <c r="LF43" s="6"/>
      <c r="LG43" s="6"/>
      <c r="LH43" s="6"/>
      <c r="LI43" s="6"/>
      <c r="LJ43" s="6"/>
      <c r="LK43" s="6"/>
      <c r="LL43" s="6"/>
      <c r="LM43" s="6"/>
      <c r="LN43" s="6"/>
      <c r="LO43" s="6"/>
      <c r="LP43" s="6"/>
      <c r="LQ43" s="6"/>
      <c r="LR43" s="6"/>
      <c r="LS43" s="6"/>
      <c r="LT43" s="6"/>
      <c r="LU43" s="6"/>
      <c r="LV43" s="6"/>
      <c r="LW43" s="6"/>
      <c r="LX43" s="6"/>
      <c r="LY43" s="6"/>
      <c r="LZ43" s="6"/>
      <c r="MA43" s="6"/>
      <c r="MB43" s="6"/>
      <c r="MC43" s="6"/>
      <c r="MD43" s="6"/>
      <c r="ME43" s="6"/>
      <c r="MF43" s="6"/>
      <c r="MG43" s="6"/>
      <c r="MH43" s="6"/>
      <c r="MI43" s="6"/>
      <c r="MJ43" s="6"/>
      <c r="MK43" s="6"/>
      <c r="ML43" s="6"/>
      <c r="MM43" s="6"/>
      <c r="MN43" s="6"/>
      <c r="MO43" s="6"/>
      <c r="MP43" s="6"/>
      <c r="MQ43" s="6"/>
      <c r="MR43" s="6"/>
      <c r="MS43" s="6"/>
      <c r="MT43" s="6"/>
      <c r="MU43" s="6"/>
      <c r="MV43" s="6"/>
      <c r="MW43" s="6"/>
      <c r="MX43" s="6"/>
      <c r="MY43" s="6"/>
      <c r="MZ43" s="6"/>
      <c r="NA43" s="6"/>
      <c r="NB43" s="6"/>
      <c r="NC43" s="6"/>
      <c r="ND43" s="6"/>
      <c r="NE43" s="6"/>
      <c r="NF43" s="6"/>
      <c r="NG43" s="6"/>
      <c r="NH43" s="6"/>
      <c r="NI43" s="10"/>
      <c r="NJ43" s="17"/>
    </row>
    <row r="44" spans="1:374">
      <c r="A44" s="18"/>
      <c r="B44" s="19"/>
      <c r="C44" s="20"/>
      <c r="D44" s="20"/>
      <c r="E44" s="20"/>
      <c r="F44" s="7" t="str">
        <f t="shared" si="195"/>
        <v/>
      </c>
      <c r="G44" s="8" t="str">
        <f t="shared" si="196"/>
        <v/>
      </c>
      <c r="H44" s="8" t="str">
        <f t="shared" si="197"/>
        <v/>
      </c>
      <c r="I44" s="7" t="str">
        <f t="shared" si="198"/>
        <v/>
      </c>
      <c r="J44" s="9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  <c r="GD44" s="6"/>
      <c r="GE44" s="6"/>
      <c r="GF44" s="6"/>
      <c r="GG44" s="6"/>
      <c r="GH44" s="6"/>
      <c r="GI44" s="6"/>
      <c r="GJ44" s="6"/>
      <c r="GK44" s="6"/>
      <c r="GL44" s="6"/>
      <c r="GM44" s="6"/>
      <c r="GN44" s="6"/>
      <c r="GO44" s="6"/>
      <c r="GP44" s="6"/>
      <c r="GQ44" s="6"/>
      <c r="GR44" s="6"/>
      <c r="GS44" s="6"/>
      <c r="GT44" s="6"/>
      <c r="GU44" s="6"/>
      <c r="GV44" s="6"/>
      <c r="GW44" s="6"/>
      <c r="GX44" s="6"/>
      <c r="GY44" s="6"/>
      <c r="GZ44" s="6"/>
      <c r="HA44" s="6"/>
      <c r="HB44" s="6"/>
      <c r="HC44" s="6"/>
      <c r="HD44" s="6"/>
      <c r="HE44" s="6"/>
      <c r="HF44" s="6"/>
      <c r="HG44" s="6"/>
      <c r="HH44" s="6"/>
      <c r="HI44" s="6"/>
      <c r="HJ44" s="6"/>
      <c r="HK44" s="6"/>
      <c r="HL44" s="6"/>
      <c r="HM44" s="6"/>
      <c r="HN44" s="6"/>
      <c r="HO44" s="6"/>
      <c r="HP44" s="6"/>
      <c r="HQ44" s="6"/>
      <c r="HR44" s="6"/>
      <c r="HS44" s="6"/>
      <c r="HT44" s="6"/>
      <c r="HU44" s="6"/>
      <c r="HV44" s="6"/>
      <c r="HW44" s="6"/>
      <c r="HX44" s="6"/>
      <c r="HY44" s="6"/>
      <c r="HZ44" s="6"/>
      <c r="IA44" s="6"/>
      <c r="IB44" s="6"/>
      <c r="IC44" s="6"/>
      <c r="ID44" s="6"/>
      <c r="IE44" s="6"/>
      <c r="IF44" s="6"/>
      <c r="IG44" s="6"/>
      <c r="IH44" s="6"/>
      <c r="II44" s="6"/>
      <c r="IJ44" s="6"/>
      <c r="IK44" s="6"/>
      <c r="IL44" s="6"/>
      <c r="IM44" s="6"/>
      <c r="IN44" s="6"/>
      <c r="IO44" s="6"/>
      <c r="IP44" s="6"/>
      <c r="IQ44" s="6"/>
      <c r="IR44" s="6"/>
      <c r="IS44" s="6"/>
      <c r="IT44" s="6"/>
      <c r="IU44" s="6"/>
      <c r="IV44" s="6"/>
      <c r="IW44" s="6"/>
      <c r="IX44" s="6"/>
      <c r="IY44" s="6"/>
      <c r="IZ44" s="6"/>
      <c r="JA44" s="6"/>
      <c r="JB44" s="6"/>
      <c r="JC44" s="6"/>
      <c r="JD44" s="6"/>
      <c r="JE44" s="6"/>
      <c r="JF44" s="6"/>
      <c r="JG44" s="6"/>
      <c r="JH44" s="6"/>
      <c r="JI44" s="6"/>
      <c r="JJ44" s="6"/>
      <c r="JK44" s="6"/>
      <c r="JL44" s="6"/>
      <c r="JM44" s="6"/>
      <c r="JN44" s="6"/>
      <c r="JO44" s="6"/>
      <c r="JP44" s="6"/>
      <c r="JQ44" s="6"/>
      <c r="JR44" s="6"/>
      <c r="JS44" s="6"/>
      <c r="JT44" s="6"/>
      <c r="JU44" s="6"/>
      <c r="JV44" s="6"/>
      <c r="JW44" s="6"/>
      <c r="JX44" s="6"/>
      <c r="JY44" s="6"/>
      <c r="JZ44" s="6"/>
      <c r="KA44" s="6"/>
      <c r="KB44" s="6"/>
      <c r="KC44" s="6"/>
      <c r="KD44" s="6"/>
      <c r="KE44" s="6"/>
      <c r="KF44" s="6"/>
      <c r="KG44" s="6"/>
      <c r="KH44" s="6"/>
      <c r="KI44" s="6"/>
      <c r="KJ44" s="6"/>
      <c r="KK44" s="6"/>
      <c r="KL44" s="6"/>
      <c r="KM44" s="6"/>
      <c r="KN44" s="6"/>
      <c r="KO44" s="6"/>
      <c r="KP44" s="6"/>
      <c r="KQ44" s="6"/>
      <c r="KR44" s="6"/>
      <c r="KS44" s="6"/>
      <c r="KT44" s="6"/>
      <c r="KU44" s="6"/>
      <c r="KV44" s="6"/>
      <c r="KW44" s="6"/>
      <c r="KX44" s="6"/>
      <c r="KY44" s="6"/>
      <c r="KZ44" s="6"/>
      <c r="LA44" s="6"/>
      <c r="LB44" s="6"/>
      <c r="LC44" s="6"/>
      <c r="LD44" s="6"/>
      <c r="LE44" s="6"/>
      <c r="LF44" s="6"/>
      <c r="LG44" s="6"/>
      <c r="LH44" s="6"/>
      <c r="LI44" s="6"/>
      <c r="LJ44" s="6"/>
      <c r="LK44" s="6"/>
      <c r="LL44" s="6"/>
      <c r="LM44" s="6"/>
      <c r="LN44" s="6"/>
      <c r="LO44" s="6"/>
      <c r="LP44" s="6"/>
      <c r="LQ44" s="6"/>
      <c r="LR44" s="6"/>
      <c r="LS44" s="6"/>
      <c r="LT44" s="6"/>
      <c r="LU44" s="6"/>
      <c r="LV44" s="6"/>
      <c r="LW44" s="6"/>
      <c r="LX44" s="6"/>
      <c r="LY44" s="6"/>
      <c r="LZ44" s="6"/>
      <c r="MA44" s="6"/>
      <c r="MB44" s="6"/>
      <c r="MC44" s="6"/>
      <c r="MD44" s="6"/>
      <c r="ME44" s="6"/>
      <c r="MF44" s="6"/>
      <c r="MG44" s="6"/>
      <c r="MH44" s="6"/>
      <c r="MI44" s="6"/>
      <c r="MJ44" s="6"/>
      <c r="MK44" s="6"/>
      <c r="ML44" s="6"/>
      <c r="MM44" s="6"/>
      <c r="MN44" s="6"/>
      <c r="MO44" s="6"/>
      <c r="MP44" s="6"/>
      <c r="MQ44" s="6"/>
      <c r="MR44" s="6"/>
      <c r="MS44" s="6"/>
      <c r="MT44" s="6"/>
      <c r="MU44" s="6"/>
      <c r="MV44" s="6"/>
      <c r="MW44" s="6"/>
      <c r="MX44" s="6"/>
      <c r="MY44" s="6"/>
      <c r="MZ44" s="6"/>
      <c r="NA44" s="6"/>
      <c r="NB44" s="6"/>
      <c r="NC44" s="6"/>
      <c r="ND44" s="6"/>
      <c r="NE44" s="6"/>
      <c r="NF44" s="6"/>
      <c r="NG44" s="6"/>
      <c r="NH44" s="6"/>
      <c r="NI44" s="10"/>
      <c r="NJ44" s="17"/>
    </row>
    <row r="45" spans="1:374">
      <c r="A45" s="18"/>
      <c r="B45" s="19"/>
      <c r="C45" s="20"/>
      <c r="D45" s="20"/>
      <c r="E45" s="20"/>
      <c r="F45" s="7" t="str">
        <f t="shared" si="195"/>
        <v/>
      </c>
      <c r="G45" s="8" t="str">
        <f t="shared" si="196"/>
        <v/>
      </c>
      <c r="H45" s="8" t="str">
        <f t="shared" si="197"/>
        <v/>
      </c>
      <c r="I45" s="7" t="str">
        <f t="shared" si="198"/>
        <v/>
      </c>
      <c r="J45" s="9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  <c r="GD45" s="6"/>
      <c r="GE45" s="6"/>
      <c r="GF45" s="6"/>
      <c r="GG45" s="6"/>
      <c r="GH45" s="6"/>
      <c r="GI45" s="6"/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/>
      <c r="HA45" s="6"/>
      <c r="HB45" s="6"/>
      <c r="HC45" s="6"/>
      <c r="HD45" s="6"/>
      <c r="HE45" s="6"/>
      <c r="HF45" s="6"/>
      <c r="HG45" s="6"/>
      <c r="HH45" s="6"/>
      <c r="HI45" s="6"/>
      <c r="HJ45" s="6"/>
      <c r="HK45" s="6"/>
      <c r="HL45" s="6"/>
      <c r="HM45" s="6"/>
      <c r="HN45" s="6"/>
      <c r="HO45" s="6"/>
      <c r="HP45" s="6"/>
      <c r="HQ45" s="6"/>
      <c r="HR45" s="6"/>
      <c r="HS45" s="6"/>
      <c r="HT45" s="6"/>
      <c r="HU45" s="6"/>
      <c r="HV45" s="6"/>
      <c r="HW45" s="6"/>
      <c r="HX45" s="6"/>
      <c r="HY45" s="6"/>
      <c r="HZ45" s="6"/>
      <c r="IA45" s="6"/>
      <c r="IB45" s="6"/>
      <c r="IC45" s="6"/>
      <c r="ID45" s="6"/>
      <c r="IE45" s="6"/>
      <c r="IF45" s="6"/>
      <c r="IG45" s="6"/>
      <c r="IH45" s="6"/>
      <c r="II45" s="6"/>
      <c r="IJ45" s="6"/>
      <c r="IK45" s="6"/>
      <c r="IL45" s="6"/>
      <c r="IM45" s="6"/>
      <c r="IN45" s="6"/>
      <c r="IO45" s="6"/>
      <c r="IP45" s="6"/>
      <c r="IQ45" s="6"/>
      <c r="IR45" s="6"/>
      <c r="IS45" s="6"/>
      <c r="IT45" s="6"/>
      <c r="IU45" s="6"/>
      <c r="IV45" s="6"/>
      <c r="IW45" s="6"/>
      <c r="IX45" s="6"/>
      <c r="IY45" s="6"/>
      <c r="IZ45" s="6"/>
      <c r="JA45" s="6"/>
      <c r="JB45" s="6"/>
      <c r="JC45" s="6"/>
      <c r="JD45" s="6"/>
      <c r="JE45" s="6"/>
      <c r="JF45" s="6"/>
      <c r="JG45" s="6"/>
      <c r="JH45" s="6"/>
      <c r="JI45" s="6"/>
      <c r="JJ45" s="6"/>
      <c r="JK45" s="6"/>
      <c r="JL45" s="6"/>
      <c r="JM45" s="6"/>
      <c r="JN45" s="6"/>
      <c r="JO45" s="6"/>
      <c r="JP45" s="6"/>
      <c r="JQ45" s="6"/>
      <c r="JR45" s="6"/>
      <c r="JS45" s="6"/>
      <c r="JT45" s="6"/>
      <c r="JU45" s="6"/>
      <c r="JV45" s="6"/>
      <c r="JW45" s="6"/>
      <c r="JX45" s="6"/>
      <c r="JY45" s="6"/>
      <c r="JZ45" s="6"/>
      <c r="KA45" s="6"/>
      <c r="KB45" s="6"/>
      <c r="KC45" s="6"/>
      <c r="KD45" s="6"/>
      <c r="KE45" s="6"/>
      <c r="KF45" s="6"/>
      <c r="KG45" s="6"/>
      <c r="KH45" s="6"/>
      <c r="KI45" s="6"/>
      <c r="KJ45" s="6"/>
      <c r="KK45" s="6"/>
      <c r="KL45" s="6"/>
      <c r="KM45" s="6"/>
      <c r="KN45" s="6"/>
      <c r="KO45" s="6"/>
      <c r="KP45" s="6"/>
      <c r="KQ45" s="6"/>
      <c r="KR45" s="6"/>
      <c r="KS45" s="6"/>
      <c r="KT45" s="6"/>
      <c r="KU45" s="6"/>
      <c r="KV45" s="6"/>
      <c r="KW45" s="6"/>
      <c r="KX45" s="6"/>
      <c r="KY45" s="6"/>
      <c r="KZ45" s="6"/>
      <c r="LA45" s="6"/>
      <c r="LB45" s="6"/>
      <c r="LC45" s="6"/>
      <c r="LD45" s="6"/>
      <c r="LE45" s="6"/>
      <c r="LF45" s="6"/>
      <c r="LG45" s="6"/>
      <c r="LH45" s="6"/>
      <c r="LI45" s="6"/>
      <c r="LJ45" s="6"/>
      <c r="LK45" s="6"/>
      <c r="LL45" s="6"/>
      <c r="LM45" s="6"/>
      <c r="LN45" s="6"/>
      <c r="LO45" s="6"/>
      <c r="LP45" s="6"/>
      <c r="LQ45" s="6"/>
      <c r="LR45" s="6"/>
      <c r="LS45" s="6"/>
      <c r="LT45" s="6"/>
      <c r="LU45" s="6"/>
      <c r="LV45" s="6"/>
      <c r="LW45" s="6"/>
      <c r="LX45" s="6"/>
      <c r="LY45" s="6"/>
      <c r="LZ45" s="6"/>
      <c r="MA45" s="6"/>
      <c r="MB45" s="6"/>
      <c r="MC45" s="6"/>
      <c r="MD45" s="6"/>
      <c r="ME45" s="6"/>
      <c r="MF45" s="6"/>
      <c r="MG45" s="6"/>
      <c r="MH45" s="6"/>
      <c r="MI45" s="6"/>
      <c r="MJ45" s="6"/>
      <c r="MK45" s="6"/>
      <c r="ML45" s="6"/>
      <c r="MM45" s="6"/>
      <c r="MN45" s="6"/>
      <c r="MO45" s="6"/>
      <c r="MP45" s="6"/>
      <c r="MQ45" s="6"/>
      <c r="MR45" s="6"/>
      <c r="MS45" s="6"/>
      <c r="MT45" s="6"/>
      <c r="MU45" s="6"/>
      <c r="MV45" s="6"/>
      <c r="MW45" s="6"/>
      <c r="MX45" s="6"/>
      <c r="MY45" s="6"/>
      <c r="MZ45" s="6"/>
      <c r="NA45" s="6"/>
      <c r="NB45" s="6"/>
      <c r="NC45" s="6"/>
      <c r="ND45" s="6"/>
      <c r="NE45" s="6"/>
      <c r="NF45" s="6"/>
      <c r="NG45" s="6"/>
      <c r="NH45" s="6"/>
      <c r="NI45" s="10"/>
      <c r="NJ45" s="17"/>
    </row>
    <row r="46" spans="1:374">
      <c r="A46" s="18"/>
      <c r="B46" s="19"/>
      <c r="C46" s="20"/>
      <c r="D46" s="20"/>
      <c r="E46" s="20"/>
      <c r="F46" s="7" t="str">
        <f t="shared" si="195"/>
        <v/>
      </c>
      <c r="G46" s="8" t="str">
        <f t="shared" si="196"/>
        <v/>
      </c>
      <c r="H46" s="8" t="str">
        <f t="shared" si="197"/>
        <v/>
      </c>
      <c r="I46" s="7" t="str">
        <f t="shared" si="198"/>
        <v/>
      </c>
      <c r="J46" s="9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  <c r="GD46" s="6"/>
      <c r="GE46" s="6"/>
      <c r="GF46" s="6"/>
      <c r="GG46" s="6"/>
      <c r="GH46" s="6"/>
      <c r="GI46" s="6"/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/>
      <c r="HB46" s="6"/>
      <c r="HC46" s="6"/>
      <c r="HD46" s="6"/>
      <c r="HE46" s="6"/>
      <c r="HF46" s="6"/>
      <c r="HG46" s="6"/>
      <c r="HH46" s="6"/>
      <c r="HI46" s="6"/>
      <c r="HJ46" s="6"/>
      <c r="HK46" s="6"/>
      <c r="HL46" s="6"/>
      <c r="HM46" s="6"/>
      <c r="HN46" s="6"/>
      <c r="HO46" s="6"/>
      <c r="HP46" s="6"/>
      <c r="HQ46" s="6"/>
      <c r="HR46" s="6"/>
      <c r="HS46" s="6"/>
      <c r="HT46" s="6"/>
      <c r="HU46" s="6"/>
      <c r="HV46" s="6"/>
      <c r="HW46" s="6"/>
      <c r="HX46" s="6"/>
      <c r="HY46" s="6"/>
      <c r="HZ46" s="6"/>
      <c r="IA46" s="6"/>
      <c r="IB46" s="6"/>
      <c r="IC46" s="6"/>
      <c r="ID46" s="6"/>
      <c r="IE46" s="6"/>
      <c r="IF46" s="6"/>
      <c r="IG46" s="6"/>
      <c r="IH46" s="6"/>
      <c r="II46" s="6"/>
      <c r="IJ46" s="6"/>
      <c r="IK46" s="6"/>
      <c r="IL46" s="6"/>
      <c r="IM46" s="6"/>
      <c r="IN46" s="6"/>
      <c r="IO46" s="6"/>
      <c r="IP46" s="6"/>
      <c r="IQ46" s="6"/>
      <c r="IR46" s="6"/>
      <c r="IS46" s="6"/>
      <c r="IT46" s="6"/>
      <c r="IU46" s="6"/>
      <c r="IV46" s="6"/>
      <c r="IW46" s="6"/>
      <c r="IX46" s="6"/>
      <c r="IY46" s="6"/>
      <c r="IZ46" s="6"/>
      <c r="JA46" s="6"/>
      <c r="JB46" s="6"/>
      <c r="JC46" s="6"/>
      <c r="JD46" s="6"/>
      <c r="JE46" s="6"/>
      <c r="JF46" s="6"/>
      <c r="JG46" s="6"/>
      <c r="JH46" s="6"/>
      <c r="JI46" s="6"/>
      <c r="JJ46" s="6"/>
      <c r="JK46" s="6"/>
      <c r="JL46" s="6"/>
      <c r="JM46" s="6"/>
      <c r="JN46" s="6"/>
      <c r="JO46" s="6"/>
      <c r="JP46" s="6"/>
      <c r="JQ46" s="6"/>
      <c r="JR46" s="6"/>
      <c r="JS46" s="6"/>
      <c r="JT46" s="6"/>
      <c r="JU46" s="6"/>
      <c r="JV46" s="6"/>
      <c r="JW46" s="6"/>
      <c r="JX46" s="6"/>
      <c r="JY46" s="6"/>
      <c r="JZ46" s="6"/>
      <c r="KA46" s="6"/>
      <c r="KB46" s="6"/>
      <c r="KC46" s="6"/>
      <c r="KD46" s="6"/>
      <c r="KE46" s="6"/>
      <c r="KF46" s="6"/>
      <c r="KG46" s="6"/>
      <c r="KH46" s="6"/>
      <c r="KI46" s="6"/>
      <c r="KJ46" s="6"/>
      <c r="KK46" s="6"/>
      <c r="KL46" s="6"/>
      <c r="KM46" s="6"/>
      <c r="KN46" s="6"/>
      <c r="KO46" s="6"/>
      <c r="KP46" s="6"/>
      <c r="KQ46" s="6"/>
      <c r="KR46" s="6"/>
      <c r="KS46" s="6"/>
      <c r="KT46" s="6"/>
      <c r="KU46" s="6"/>
      <c r="KV46" s="6"/>
      <c r="KW46" s="6"/>
      <c r="KX46" s="6"/>
      <c r="KY46" s="6"/>
      <c r="KZ46" s="6"/>
      <c r="LA46" s="6"/>
      <c r="LB46" s="6"/>
      <c r="LC46" s="6"/>
      <c r="LD46" s="6"/>
      <c r="LE46" s="6"/>
      <c r="LF46" s="6"/>
      <c r="LG46" s="6"/>
      <c r="LH46" s="6"/>
      <c r="LI46" s="6"/>
      <c r="LJ46" s="6"/>
      <c r="LK46" s="6"/>
      <c r="LL46" s="6"/>
      <c r="LM46" s="6"/>
      <c r="LN46" s="6"/>
      <c r="LO46" s="6"/>
      <c r="LP46" s="6"/>
      <c r="LQ46" s="6"/>
      <c r="LR46" s="6"/>
      <c r="LS46" s="6"/>
      <c r="LT46" s="6"/>
      <c r="LU46" s="6"/>
      <c r="LV46" s="6"/>
      <c r="LW46" s="6"/>
      <c r="LX46" s="6"/>
      <c r="LY46" s="6"/>
      <c r="LZ46" s="6"/>
      <c r="MA46" s="6"/>
      <c r="MB46" s="6"/>
      <c r="MC46" s="6"/>
      <c r="MD46" s="6"/>
      <c r="ME46" s="6"/>
      <c r="MF46" s="6"/>
      <c r="MG46" s="6"/>
      <c r="MH46" s="6"/>
      <c r="MI46" s="6"/>
      <c r="MJ46" s="6"/>
      <c r="MK46" s="6"/>
      <c r="ML46" s="6"/>
      <c r="MM46" s="6"/>
      <c r="MN46" s="6"/>
      <c r="MO46" s="6"/>
      <c r="MP46" s="6"/>
      <c r="MQ46" s="6"/>
      <c r="MR46" s="6"/>
      <c r="MS46" s="6"/>
      <c r="MT46" s="6"/>
      <c r="MU46" s="6"/>
      <c r="MV46" s="6"/>
      <c r="MW46" s="6"/>
      <c r="MX46" s="6"/>
      <c r="MY46" s="6"/>
      <c r="MZ46" s="6"/>
      <c r="NA46" s="6"/>
      <c r="NB46" s="6"/>
      <c r="NC46" s="6"/>
      <c r="ND46" s="6"/>
      <c r="NE46" s="6"/>
      <c r="NF46" s="6"/>
      <c r="NG46" s="6"/>
      <c r="NH46" s="6"/>
      <c r="NI46" s="10"/>
      <c r="NJ46" s="17"/>
    </row>
    <row r="47" spans="1:374">
      <c r="A47" s="18"/>
      <c r="B47" s="19"/>
      <c r="C47" s="20"/>
      <c r="D47" s="20"/>
      <c r="E47" s="20"/>
      <c r="F47" s="7" t="str">
        <f t="shared" si="195"/>
        <v/>
      </c>
      <c r="G47" s="8" t="str">
        <f t="shared" si="196"/>
        <v/>
      </c>
      <c r="H47" s="8" t="str">
        <f t="shared" si="197"/>
        <v/>
      </c>
      <c r="I47" s="7" t="str">
        <f t="shared" si="198"/>
        <v/>
      </c>
      <c r="J47" s="9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  <c r="GD47" s="6"/>
      <c r="GE47" s="6"/>
      <c r="GF47" s="6"/>
      <c r="GG47" s="6"/>
      <c r="GH47" s="6"/>
      <c r="GI47" s="6"/>
      <c r="GJ47" s="6"/>
      <c r="GK47" s="6"/>
      <c r="GL47" s="6"/>
      <c r="GM47" s="6"/>
      <c r="GN47" s="6"/>
      <c r="GO47" s="6"/>
      <c r="GP47" s="6"/>
      <c r="GQ47" s="6"/>
      <c r="GR47" s="6"/>
      <c r="GS47" s="6"/>
      <c r="GT47" s="6"/>
      <c r="GU47" s="6"/>
      <c r="GV47" s="6"/>
      <c r="GW47" s="6"/>
      <c r="GX47" s="6"/>
      <c r="GY47" s="6"/>
      <c r="GZ47" s="6"/>
      <c r="HA47" s="6"/>
      <c r="HB47" s="6"/>
      <c r="HC47" s="6"/>
      <c r="HD47" s="6"/>
      <c r="HE47" s="6"/>
      <c r="HF47" s="6"/>
      <c r="HG47" s="6"/>
      <c r="HH47" s="6"/>
      <c r="HI47" s="6"/>
      <c r="HJ47" s="6"/>
      <c r="HK47" s="6"/>
      <c r="HL47" s="6"/>
      <c r="HM47" s="6"/>
      <c r="HN47" s="6"/>
      <c r="HO47" s="6"/>
      <c r="HP47" s="6"/>
      <c r="HQ47" s="6"/>
      <c r="HR47" s="6"/>
      <c r="HS47" s="6"/>
      <c r="HT47" s="6"/>
      <c r="HU47" s="6"/>
      <c r="HV47" s="6"/>
      <c r="HW47" s="6"/>
      <c r="HX47" s="6"/>
      <c r="HY47" s="6"/>
      <c r="HZ47" s="6"/>
      <c r="IA47" s="6"/>
      <c r="IB47" s="6"/>
      <c r="IC47" s="6"/>
      <c r="ID47" s="6"/>
      <c r="IE47" s="6"/>
      <c r="IF47" s="6"/>
      <c r="IG47" s="6"/>
      <c r="IH47" s="6"/>
      <c r="II47" s="6"/>
      <c r="IJ47" s="6"/>
      <c r="IK47" s="6"/>
      <c r="IL47" s="6"/>
      <c r="IM47" s="6"/>
      <c r="IN47" s="6"/>
      <c r="IO47" s="6"/>
      <c r="IP47" s="6"/>
      <c r="IQ47" s="6"/>
      <c r="IR47" s="6"/>
      <c r="IS47" s="6"/>
      <c r="IT47" s="6"/>
      <c r="IU47" s="6"/>
      <c r="IV47" s="6"/>
      <c r="IW47" s="6"/>
      <c r="IX47" s="6"/>
      <c r="IY47" s="6"/>
      <c r="IZ47" s="6"/>
      <c r="JA47" s="6"/>
      <c r="JB47" s="6"/>
      <c r="JC47" s="6"/>
      <c r="JD47" s="6"/>
      <c r="JE47" s="6"/>
      <c r="JF47" s="6"/>
      <c r="JG47" s="6"/>
      <c r="JH47" s="6"/>
      <c r="JI47" s="6"/>
      <c r="JJ47" s="6"/>
      <c r="JK47" s="6"/>
      <c r="JL47" s="6"/>
      <c r="JM47" s="6"/>
      <c r="JN47" s="6"/>
      <c r="JO47" s="6"/>
      <c r="JP47" s="6"/>
      <c r="JQ47" s="6"/>
      <c r="JR47" s="6"/>
      <c r="JS47" s="6"/>
      <c r="JT47" s="6"/>
      <c r="JU47" s="6"/>
      <c r="JV47" s="6"/>
      <c r="JW47" s="6"/>
      <c r="JX47" s="6"/>
      <c r="JY47" s="6"/>
      <c r="JZ47" s="6"/>
      <c r="KA47" s="6"/>
      <c r="KB47" s="6"/>
      <c r="KC47" s="6"/>
      <c r="KD47" s="6"/>
      <c r="KE47" s="6"/>
      <c r="KF47" s="6"/>
      <c r="KG47" s="6"/>
      <c r="KH47" s="6"/>
      <c r="KI47" s="6"/>
      <c r="KJ47" s="6"/>
      <c r="KK47" s="6"/>
      <c r="KL47" s="6"/>
      <c r="KM47" s="6"/>
      <c r="KN47" s="6"/>
      <c r="KO47" s="6"/>
      <c r="KP47" s="6"/>
      <c r="KQ47" s="6"/>
      <c r="KR47" s="6"/>
      <c r="KS47" s="6"/>
      <c r="KT47" s="6"/>
      <c r="KU47" s="6"/>
      <c r="KV47" s="6"/>
      <c r="KW47" s="6"/>
      <c r="KX47" s="6"/>
      <c r="KY47" s="6"/>
      <c r="KZ47" s="6"/>
      <c r="LA47" s="6"/>
      <c r="LB47" s="6"/>
      <c r="LC47" s="6"/>
      <c r="LD47" s="6"/>
      <c r="LE47" s="6"/>
      <c r="LF47" s="6"/>
      <c r="LG47" s="6"/>
      <c r="LH47" s="6"/>
      <c r="LI47" s="6"/>
      <c r="LJ47" s="6"/>
      <c r="LK47" s="6"/>
      <c r="LL47" s="6"/>
      <c r="LM47" s="6"/>
      <c r="LN47" s="6"/>
      <c r="LO47" s="6"/>
      <c r="LP47" s="6"/>
      <c r="LQ47" s="6"/>
      <c r="LR47" s="6"/>
      <c r="LS47" s="6"/>
      <c r="LT47" s="6"/>
      <c r="LU47" s="6"/>
      <c r="LV47" s="6"/>
      <c r="LW47" s="6"/>
      <c r="LX47" s="6"/>
      <c r="LY47" s="6"/>
      <c r="LZ47" s="6"/>
      <c r="MA47" s="6"/>
      <c r="MB47" s="6"/>
      <c r="MC47" s="6"/>
      <c r="MD47" s="6"/>
      <c r="ME47" s="6"/>
      <c r="MF47" s="6"/>
      <c r="MG47" s="6"/>
      <c r="MH47" s="6"/>
      <c r="MI47" s="6"/>
      <c r="MJ47" s="6"/>
      <c r="MK47" s="6"/>
      <c r="ML47" s="6"/>
      <c r="MM47" s="6"/>
      <c r="MN47" s="6"/>
      <c r="MO47" s="6"/>
      <c r="MP47" s="6"/>
      <c r="MQ47" s="6"/>
      <c r="MR47" s="6"/>
      <c r="MS47" s="6"/>
      <c r="MT47" s="6"/>
      <c r="MU47" s="6"/>
      <c r="MV47" s="6"/>
      <c r="MW47" s="6"/>
      <c r="MX47" s="6"/>
      <c r="MY47" s="6"/>
      <c r="MZ47" s="6"/>
      <c r="NA47" s="6"/>
      <c r="NB47" s="6"/>
      <c r="NC47" s="6"/>
      <c r="ND47" s="6"/>
      <c r="NE47" s="6"/>
      <c r="NF47" s="6"/>
      <c r="NG47" s="6"/>
      <c r="NH47" s="6"/>
      <c r="NI47" s="10"/>
      <c r="NJ47" s="17"/>
    </row>
    <row r="48" spans="1:374">
      <c r="A48" s="18"/>
      <c r="B48" s="19"/>
      <c r="C48" s="20"/>
      <c r="D48" s="20"/>
      <c r="E48" s="20"/>
      <c r="F48" s="7" t="str">
        <f t="shared" si="195"/>
        <v/>
      </c>
      <c r="G48" s="8" t="str">
        <f t="shared" si="196"/>
        <v/>
      </c>
      <c r="H48" s="8" t="str">
        <f t="shared" si="197"/>
        <v/>
      </c>
      <c r="I48" s="7" t="str">
        <f t="shared" si="198"/>
        <v/>
      </c>
      <c r="J48" s="9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  <c r="GD48" s="6"/>
      <c r="GE48" s="6"/>
      <c r="GF48" s="6"/>
      <c r="GG48" s="6"/>
      <c r="GH48" s="6"/>
      <c r="GI48" s="6"/>
      <c r="GJ48" s="6"/>
      <c r="GK48" s="6"/>
      <c r="GL48" s="6"/>
      <c r="GM48" s="6"/>
      <c r="GN48" s="6"/>
      <c r="GO48" s="6"/>
      <c r="GP48" s="6"/>
      <c r="GQ48" s="6"/>
      <c r="GR48" s="6"/>
      <c r="GS48" s="6"/>
      <c r="GT48" s="6"/>
      <c r="GU48" s="6"/>
      <c r="GV48" s="6"/>
      <c r="GW48" s="6"/>
      <c r="GX48" s="6"/>
      <c r="GY48" s="6"/>
      <c r="GZ48" s="6"/>
      <c r="HA48" s="6"/>
      <c r="HB48" s="6"/>
      <c r="HC48" s="6"/>
      <c r="HD48" s="6"/>
      <c r="HE48" s="6"/>
      <c r="HF48" s="6"/>
      <c r="HG48" s="6"/>
      <c r="HH48" s="6"/>
      <c r="HI48" s="6"/>
      <c r="HJ48" s="6"/>
      <c r="HK48" s="6"/>
      <c r="HL48" s="6"/>
      <c r="HM48" s="6"/>
      <c r="HN48" s="6"/>
      <c r="HO48" s="6"/>
      <c r="HP48" s="6"/>
      <c r="HQ48" s="6"/>
      <c r="HR48" s="6"/>
      <c r="HS48" s="6"/>
      <c r="HT48" s="6"/>
      <c r="HU48" s="6"/>
      <c r="HV48" s="6"/>
      <c r="HW48" s="6"/>
      <c r="HX48" s="6"/>
      <c r="HY48" s="6"/>
      <c r="HZ48" s="6"/>
      <c r="IA48" s="6"/>
      <c r="IB48" s="6"/>
      <c r="IC48" s="6"/>
      <c r="ID48" s="6"/>
      <c r="IE48" s="6"/>
      <c r="IF48" s="6"/>
      <c r="IG48" s="6"/>
      <c r="IH48" s="6"/>
      <c r="II48" s="6"/>
      <c r="IJ48" s="6"/>
      <c r="IK48" s="6"/>
      <c r="IL48" s="6"/>
      <c r="IM48" s="6"/>
      <c r="IN48" s="6"/>
      <c r="IO48" s="6"/>
      <c r="IP48" s="6"/>
      <c r="IQ48" s="6"/>
      <c r="IR48" s="6"/>
      <c r="IS48" s="6"/>
      <c r="IT48" s="6"/>
      <c r="IU48" s="6"/>
      <c r="IV48" s="6"/>
      <c r="IW48" s="6"/>
      <c r="IX48" s="6"/>
      <c r="IY48" s="6"/>
      <c r="IZ48" s="6"/>
      <c r="JA48" s="6"/>
      <c r="JB48" s="6"/>
      <c r="JC48" s="6"/>
      <c r="JD48" s="6"/>
      <c r="JE48" s="6"/>
      <c r="JF48" s="6"/>
      <c r="JG48" s="6"/>
      <c r="JH48" s="6"/>
      <c r="JI48" s="6"/>
      <c r="JJ48" s="6"/>
      <c r="JK48" s="6"/>
      <c r="JL48" s="6"/>
      <c r="JM48" s="6"/>
      <c r="JN48" s="6"/>
      <c r="JO48" s="6"/>
      <c r="JP48" s="6"/>
      <c r="JQ48" s="6"/>
      <c r="JR48" s="6"/>
      <c r="JS48" s="6"/>
      <c r="JT48" s="6"/>
      <c r="JU48" s="6"/>
      <c r="JV48" s="6"/>
      <c r="JW48" s="6"/>
      <c r="JX48" s="6"/>
      <c r="JY48" s="6"/>
      <c r="JZ48" s="6"/>
      <c r="KA48" s="6"/>
      <c r="KB48" s="6"/>
      <c r="KC48" s="6"/>
      <c r="KD48" s="6"/>
      <c r="KE48" s="6"/>
      <c r="KF48" s="6"/>
      <c r="KG48" s="6"/>
      <c r="KH48" s="6"/>
      <c r="KI48" s="6"/>
      <c r="KJ48" s="6"/>
      <c r="KK48" s="6"/>
      <c r="KL48" s="6"/>
      <c r="KM48" s="6"/>
      <c r="KN48" s="6"/>
      <c r="KO48" s="6"/>
      <c r="KP48" s="6"/>
      <c r="KQ48" s="6"/>
      <c r="KR48" s="6"/>
      <c r="KS48" s="6"/>
      <c r="KT48" s="6"/>
      <c r="KU48" s="6"/>
      <c r="KV48" s="6"/>
      <c r="KW48" s="6"/>
      <c r="KX48" s="6"/>
      <c r="KY48" s="6"/>
      <c r="KZ48" s="6"/>
      <c r="LA48" s="6"/>
      <c r="LB48" s="6"/>
      <c r="LC48" s="6"/>
      <c r="LD48" s="6"/>
      <c r="LE48" s="6"/>
      <c r="LF48" s="6"/>
      <c r="LG48" s="6"/>
      <c r="LH48" s="6"/>
      <c r="LI48" s="6"/>
      <c r="LJ48" s="6"/>
      <c r="LK48" s="6"/>
      <c r="LL48" s="6"/>
      <c r="LM48" s="6"/>
      <c r="LN48" s="6"/>
      <c r="LO48" s="6"/>
      <c r="LP48" s="6"/>
      <c r="LQ48" s="6"/>
      <c r="LR48" s="6"/>
      <c r="LS48" s="6"/>
      <c r="LT48" s="6"/>
      <c r="LU48" s="6"/>
      <c r="LV48" s="6"/>
      <c r="LW48" s="6"/>
      <c r="LX48" s="6"/>
      <c r="LY48" s="6"/>
      <c r="LZ48" s="6"/>
      <c r="MA48" s="6"/>
      <c r="MB48" s="6"/>
      <c r="MC48" s="6"/>
      <c r="MD48" s="6"/>
      <c r="ME48" s="6"/>
      <c r="MF48" s="6"/>
      <c r="MG48" s="6"/>
      <c r="MH48" s="6"/>
      <c r="MI48" s="6"/>
      <c r="MJ48" s="6"/>
      <c r="MK48" s="6"/>
      <c r="ML48" s="6"/>
      <c r="MM48" s="6"/>
      <c r="MN48" s="6"/>
      <c r="MO48" s="6"/>
      <c r="MP48" s="6"/>
      <c r="MQ48" s="6"/>
      <c r="MR48" s="6"/>
      <c r="MS48" s="6"/>
      <c r="MT48" s="6"/>
      <c r="MU48" s="6"/>
      <c r="MV48" s="6"/>
      <c r="MW48" s="6"/>
      <c r="MX48" s="6"/>
      <c r="MY48" s="6"/>
      <c r="MZ48" s="6"/>
      <c r="NA48" s="6"/>
      <c r="NB48" s="6"/>
      <c r="NC48" s="6"/>
      <c r="ND48" s="6"/>
      <c r="NE48" s="6"/>
      <c r="NF48" s="6"/>
      <c r="NG48" s="6"/>
      <c r="NH48" s="6"/>
      <c r="NI48" s="10"/>
      <c r="NJ48" s="17"/>
    </row>
    <row r="49" spans="1:374">
      <c r="A49" s="18"/>
      <c r="B49" s="19"/>
      <c r="C49" s="20"/>
      <c r="D49" s="20"/>
      <c r="E49" s="20"/>
      <c r="F49" s="7" t="str">
        <f t="shared" si="195"/>
        <v/>
      </c>
      <c r="G49" s="8" t="str">
        <f t="shared" si="196"/>
        <v/>
      </c>
      <c r="H49" s="8" t="str">
        <f t="shared" si="197"/>
        <v/>
      </c>
      <c r="I49" s="7" t="str">
        <f t="shared" si="198"/>
        <v/>
      </c>
      <c r="J49" s="9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  <c r="GD49" s="6"/>
      <c r="GE49" s="6"/>
      <c r="GF49" s="6"/>
      <c r="GG49" s="6"/>
      <c r="GH49" s="6"/>
      <c r="GI49" s="6"/>
      <c r="GJ49" s="6"/>
      <c r="GK49" s="6"/>
      <c r="GL49" s="6"/>
      <c r="GM49" s="6"/>
      <c r="GN49" s="6"/>
      <c r="GO49" s="6"/>
      <c r="GP49" s="6"/>
      <c r="GQ49" s="6"/>
      <c r="GR49" s="6"/>
      <c r="GS49" s="6"/>
      <c r="GT49" s="6"/>
      <c r="GU49" s="6"/>
      <c r="GV49" s="6"/>
      <c r="GW49" s="6"/>
      <c r="GX49" s="6"/>
      <c r="GY49" s="6"/>
      <c r="GZ49" s="6"/>
      <c r="HA49" s="6"/>
      <c r="HB49" s="6"/>
      <c r="HC49" s="6"/>
      <c r="HD49" s="6"/>
      <c r="HE49" s="6"/>
      <c r="HF49" s="6"/>
      <c r="HG49" s="6"/>
      <c r="HH49" s="6"/>
      <c r="HI49" s="6"/>
      <c r="HJ49" s="6"/>
      <c r="HK49" s="6"/>
      <c r="HL49" s="6"/>
      <c r="HM49" s="6"/>
      <c r="HN49" s="6"/>
      <c r="HO49" s="6"/>
      <c r="HP49" s="6"/>
      <c r="HQ49" s="6"/>
      <c r="HR49" s="6"/>
      <c r="HS49" s="6"/>
      <c r="HT49" s="6"/>
      <c r="HU49" s="6"/>
      <c r="HV49" s="6"/>
      <c r="HW49" s="6"/>
      <c r="HX49" s="6"/>
      <c r="HY49" s="6"/>
      <c r="HZ49" s="6"/>
      <c r="IA49" s="6"/>
      <c r="IB49" s="6"/>
      <c r="IC49" s="6"/>
      <c r="ID49" s="6"/>
      <c r="IE49" s="6"/>
      <c r="IF49" s="6"/>
      <c r="IG49" s="6"/>
      <c r="IH49" s="6"/>
      <c r="II49" s="6"/>
      <c r="IJ49" s="6"/>
      <c r="IK49" s="6"/>
      <c r="IL49" s="6"/>
      <c r="IM49" s="6"/>
      <c r="IN49" s="6"/>
      <c r="IO49" s="6"/>
      <c r="IP49" s="6"/>
      <c r="IQ49" s="6"/>
      <c r="IR49" s="6"/>
      <c r="IS49" s="6"/>
      <c r="IT49" s="6"/>
      <c r="IU49" s="6"/>
      <c r="IV49" s="6"/>
      <c r="IW49" s="6"/>
      <c r="IX49" s="6"/>
      <c r="IY49" s="6"/>
      <c r="IZ49" s="6"/>
      <c r="JA49" s="6"/>
      <c r="JB49" s="6"/>
      <c r="JC49" s="6"/>
      <c r="JD49" s="6"/>
      <c r="JE49" s="6"/>
      <c r="JF49" s="6"/>
      <c r="JG49" s="6"/>
      <c r="JH49" s="6"/>
      <c r="JI49" s="6"/>
      <c r="JJ49" s="6"/>
      <c r="JK49" s="6"/>
      <c r="JL49" s="6"/>
      <c r="JM49" s="6"/>
      <c r="JN49" s="6"/>
      <c r="JO49" s="6"/>
      <c r="JP49" s="6"/>
      <c r="JQ49" s="6"/>
      <c r="JR49" s="6"/>
      <c r="JS49" s="6"/>
      <c r="JT49" s="6"/>
      <c r="JU49" s="6"/>
      <c r="JV49" s="6"/>
      <c r="JW49" s="6"/>
      <c r="JX49" s="6"/>
      <c r="JY49" s="6"/>
      <c r="JZ49" s="6"/>
      <c r="KA49" s="6"/>
      <c r="KB49" s="6"/>
      <c r="KC49" s="6"/>
      <c r="KD49" s="6"/>
      <c r="KE49" s="6"/>
      <c r="KF49" s="6"/>
      <c r="KG49" s="6"/>
      <c r="KH49" s="6"/>
      <c r="KI49" s="6"/>
      <c r="KJ49" s="6"/>
      <c r="KK49" s="6"/>
      <c r="KL49" s="6"/>
      <c r="KM49" s="6"/>
      <c r="KN49" s="6"/>
      <c r="KO49" s="6"/>
      <c r="KP49" s="6"/>
      <c r="KQ49" s="6"/>
      <c r="KR49" s="6"/>
      <c r="KS49" s="6"/>
      <c r="KT49" s="6"/>
      <c r="KU49" s="6"/>
      <c r="KV49" s="6"/>
      <c r="KW49" s="6"/>
      <c r="KX49" s="6"/>
      <c r="KY49" s="6"/>
      <c r="KZ49" s="6"/>
      <c r="LA49" s="6"/>
      <c r="LB49" s="6"/>
      <c r="LC49" s="6"/>
      <c r="LD49" s="6"/>
      <c r="LE49" s="6"/>
      <c r="LF49" s="6"/>
      <c r="LG49" s="6"/>
      <c r="LH49" s="6"/>
      <c r="LI49" s="6"/>
      <c r="LJ49" s="6"/>
      <c r="LK49" s="6"/>
      <c r="LL49" s="6"/>
      <c r="LM49" s="6"/>
      <c r="LN49" s="6"/>
      <c r="LO49" s="6"/>
      <c r="LP49" s="6"/>
      <c r="LQ49" s="6"/>
      <c r="LR49" s="6"/>
      <c r="LS49" s="6"/>
      <c r="LT49" s="6"/>
      <c r="LU49" s="6"/>
      <c r="LV49" s="6"/>
      <c r="LW49" s="6"/>
      <c r="LX49" s="6"/>
      <c r="LY49" s="6"/>
      <c r="LZ49" s="6"/>
      <c r="MA49" s="6"/>
      <c r="MB49" s="6"/>
      <c r="MC49" s="6"/>
      <c r="MD49" s="6"/>
      <c r="ME49" s="6"/>
      <c r="MF49" s="6"/>
      <c r="MG49" s="6"/>
      <c r="MH49" s="6"/>
      <c r="MI49" s="6"/>
      <c r="MJ49" s="6"/>
      <c r="MK49" s="6"/>
      <c r="ML49" s="6"/>
      <c r="MM49" s="6"/>
      <c r="MN49" s="6"/>
      <c r="MO49" s="6"/>
      <c r="MP49" s="6"/>
      <c r="MQ49" s="6"/>
      <c r="MR49" s="6"/>
      <c r="MS49" s="6"/>
      <c r="MT49" s="6"/>
      <c r="MU49" s="6"/>
      <c r="MV49" s="6"/>
      <c r="MW49" s="6"/>
      <c r="MX49" s="6"/>
      <c r="MY49" s="6"/>
      <c r="MZ49" s="6"/>
      <c r="NA49" s="6"/>
      <c r="NB49" s="6"/>
      <c r="NC49" s="6"/>
      <c r="ND49" s="6"/>
      <c r="NE49" s="6"/>
      <c r="NF49" s="6"/>
      <c r="NG49" s="6"/>
      <c r="NH49" s="6"/>
      <c r="NI49" s="10"/>
      <c r="NJ49" s="17"/>
    </row>
    <row r="50" spans="1:374">
      <c r="A50" s="3"/>
      <c r="B50" s="5"/>
      <c r="C50" s="4"/>
      <c r="D50" s="11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</row>
    <row r="53" spans="1:374">
      <c r="D53" s="12"/>
    </row>
  </sheetData>
  <sheetProtection sheet="1" objects="1" scenarios="1" autoFilter="0"/>
  <autoFilter ref="A5:A49">
    <filterColumn colId="0">
      <filters blank="1">
        <filter val="1"/>
        <filter val="1.1"/>
        <filter val="1.2"/>
        <filter val="2"/>
        <filter val="2.1"/>
        <filter val="2.2"/>
        <filter val="2.3"/>
        <filter val="3"/>
      </filters>
    </filterColumn>
  </autoFilter>
  <dataConsolidate/>
  <mergeCells count="105">
    <mergeCell ref="MH2:MN4"/>
    <mergeCell ref="MO2:MU4"/>
    <mergeCell ref="MV2:NB4"/>
    <mergeCell ref="NC2:NI4"/>
    <mergeCell ref="JW2:KC4"/>
    <mergeCell ref="KD2:KJ4"/>
    <mergeCell ref="KK2:KQ4"/>
    <mergeCell ref="KR2:KX4"/>
    <mergeCell ref="KY2:LE4"/>
    <mergeCell ref="LF2:LL4"/>
    <mergeCell ref="LM2:LS4"/>
    <mergeCell ref="LT2:LZ4"/>
    <mergeCell ref="MA2:MG4"/>
    <mergeCell ref="HL2:HR4"/>
    <mergeCell ref="HS2:HY4"/>
    <mergeCell ref="HZ2:IF4"/>
    <mergeCell ref="IG2:IM4"/>
    <mergeCell ref="IN2:IT4"/>
    <mergeCell ref="IU2:JA4"/>
    <mergeCell ref="JB2:JH4"/>
    <mergeCell ref="JI2:JO4"/>
    <mergeCell ref="JP2:JV4"/>
    <mergeCell ref="EF2:EL4"/>
    <mergeCell ref="EM2:ES4"/>
    <mergeCell ref="ET2:EZ4"/>
    <mergeCell ref="FA2:FG4"/>
    <mergeCell ref="FH2:FN4"/>
    <mergeCell ref="FO2:FU4"/>
    <mergeCell ref="FV2:GB4"/>
    <mergeCell ref="GC2:GI4"/>
    <mergeCell ref="GJ2:GP4"/>
    <mergeCell ref="A1:G1"/>
    <mergeCell ref="J2:P4"/>
    <mergeCell ref="Q2:W4"/>
    <mergeCell ref="X2:AD4"/>
    <mergeCell ref="AE2:AK4"/>
    <mergeCell ref="AL2:AR4"/>
    <mergeCell ref="AS2:AY4"/>
    <mergeCell ref="AZ2:BF4"/>
    <mergeCell ref="BG2:BM4"/>
    <mergeCell ref="DY2:EE4"/>
    <mergeCell ref="J5:P5"/>
    <mergeCell ref="CP5:CV5"/>
    <mergeCell ref="Q5:W5"/>
    <mergeCell ref="X5:AD5"/>
    <mergeCell ref="AE5:AK5"/>
    <mergeCell ref="AL5:AR5"/>
    <mergeCell ref="AS5:AY5"/>
    <mergeCell ref="AZ5:BF5"/>
    <mergeCell ref="BG5:BM5"/>
    <mergeCell ref="BN5:BT5"/>
    <mergeCell ref="BU5:CA5"/>
    <mergeCell ref="CB5:CH5"/>
    <mergeCell ref="CI5:CO5"/>
    <mergeCell ref="BN2:BT4"/>
    <mergeCell ref="BU2:CA4"/>
    <mergeCell ref="CB2:CH4"/>
    <mergeCell ref="CI2:CO4"/>
    <mergeCell ref="CP2:CV4"/>
    <mergeCell ref="CW2:DC4"/>
    <mergeCell ref="DD2:DJ4"/>
    <mergeCell ref="DK2:DQ4"/>
    <mergeCell ref="DR2:DX4"/>
    <mergeCell ref="KR5:KX5"/>
    <mergeCell ref="CW5:DC5"/>
    <mergeCell ref="DD5:DJ5"/>
    <mergeCell ref="DK5:DQ5"/>
    <mergeCell ref="IN5:IT5"/>
    <mergeCell ref="IU5:JA5"/>
    <mergeCell ref="JB5:JH5"/>
    <mergeCell ref="JI5:JO5"/>
    <mergeCell ref="JP5:JV5"/>
    <mergeCell ref="JW5:KC5"/>
    <mergeCell ref="KD5:KJ5"/>
    <mergeCell ref="KK5:KQ5"/>
    <mergeCell ref="HL5:HR5"/>
    <mergeCell ref="HS5:HY5"/>
    <mergeCell ref="HZ5:IF5"/>
    <mergeCell ref="IG5:IM5"/>
    <mergeCell ref="DR5:DX5"/>
    <mergeCell ref="DY5:EE5"/>
    <mergeCell ref="EF5:EL5"/>
    <mergeCell ref="EM5:ES5"/>
    <mergeCell ref="ET5:EZ5"/>
    <mergeCell ref="FA5:FG5"/>
    <mergeCell ref="FH5:FN5"/>
    <mergeCell ref="FO5:FU5"/>
    <mergeCell ref="MO5:MU5"/>
    <mergeCell ref="MV5:NB5"/>
    <mergeCell ref="NC5:NI5"/>
    <mergeCell ref="KY5:LE5"/>
    <mergeCell ref="LF5:LL5"/>
    <mergeCell ref="LM5:LS5"/>
    <mergeCell ref="LT5:LZ5"/>
    <mergeCell ref="MA5:MG5"/>
    <mergeCell ref="MH5:MN5"/>
    <mergeCell ref="FV5:GB5"/>
    <mergeCell ref="GC5:GI5"/>
    <mergeCell ref="GJ5:GP5"/>
    <mergeCell ref="GQ5:GW5"/>
    <mergeCell ref="GX5:HD5"/>
    <mergeCell ref="HE5:HK5"/>
    <mergeCell ref="GQ2:GW4"/>
    <mergeCell ref="GX2:HD4"/>
    <mergeCell ref="HE2:HK4"/>
  </mergeCells>
  <conditionalFormatting sqref="A6:NI49">
    <cfRule type="expression" dxfId="9" priority="182">
      <formula>AND(ISERROR(SEARCH(".",$A6)),LEN($A6)&gt;0)</formula>
    </cfRule>
  </conditionalFormatting>
  <conditionalFormatting sqref="A6:E49">
    <cfRule type="expression" dxfId="8" priority="185">
      <formula>NOT(ISERROR(SEARCH(".",$A6)))</formula>
    </cfRule>
  </conditionalFormatting>
  <conditionalFormatting sqref="J2:NI4 J6:NI49">
    <cfRule type="expression" dxfId="7" priority="181">
      <formula>J$2&lt;&gt;C$2</formula>
    </cfRule>
  </conditionalFormatting>
  <conditionalFormatting sqref="J6:NI49">
    <cfRule type="expression" dxfId="6" priority="83" stopIfTrue="1">
      <formula>J$1=Today</formula>
    </cfRule>
    <cfRule type="expression" dxfId="5" priority="180" stopIfTrue="1">
      <formula>AND(LEN($A6)=1,J$1&lt;Today,J$1&gt;$C6,NOT(ISBLANK($C6)),$D6&lt;Today,IF(ISBLANK($E6),J$1&gt;$D6,J$1&lt;$E6))</formula>
    </cfRule>
    <cfRule type="expression" dxfId="4" priority="162" stopIfTrue="1">
      <formula>AND(LEN($A6)=1,J$1&gt;=$C6,J$1&lt;=$D6,J$1&gt;Today,IF(ISBLANK($E6),TRUE,J$1&lt;=$E6))</formula>
    </cfRule>
  </conditionalFormatting>
  <conditionalFormatting sqref="J6:NI49">
    <cfRule type="expression" dxfId="3" priority="160" stopIfTrue="1">
      <formula>AND(LEN($A6)&gt;1,J$1&gt;=$C6,J$1&lt;=$D6,J$1&gt;Today,IF(ISBLANK($E6),TRUE,J$1&lt;=$E6))</formula>
    </cfRule>
    <cfRule type="expression" dxfId="2" priority="177" stopIfTrue="1">
      <formula>AND(LEN($A6)&gt;1,J$1&gt;=$C6,J$1&lt;=$D6,IF(ISBLANK($E6),TRUE,J$1&lt;=$E6))</formula>
    </cfRule>
    <cfRule type="expression" dxfId="1" priority="178" stopIfTrue="1">
      <formula>AND(LEN($A6)=1,J$1&gt;=$C6,J$1&lt;=$D6,IF(ISBLANK($E6),TRUE,J$1&lt;=$E6))</formula>
    </cfRule>
    <cfRule type="expression" dxfId="0" priority="179" stopIfTrue="1">
      <formula>AND(LEN($A6)&gt;1,J$1&lt;Today,J$1&gt;$C6,NOT(ISBLANK($C6)),$D6&lt;Today,IF(ISBLANK($E6),J$1&gt;$D6,J$1&lt;$E6))</formula>
    </cfRule>
  </conditionalFormatting>
  <dataValidations count="5">
    <dataValidation allowBlank="1" showInputMessage="1" showErrorMessage="1" promptTitle="PM" prompt="Project manager's name" sqref="B2"/>
    <dataValidation allowBlank="1" showInputMessage="1" showErrorMessage="1" promptTitle="Start" prompt="The start date of the project." sqref="B3"/>
    <dataValidation allowBlank="1" showInputMessage="1" showErrorMessage="1" promptTitle="Task ID" prompt="For main tasks, enter any number of characters making sure none of them are dots &quot;.&quot;, e.g. &quot;1&quot; or &quot;A&quot; or &quot;12&quot;_x000a__x000a_For sub-tasks, just include a dot &quot;.&quot; along with any number of characters, e.g. &quot;1.1&quot; or &quot;A.1&quot; or &quot;12.67&quot;." sqref="A6:A49"/>
    <dataValidation allowBlank="1" showInputMessage="1" showErrorMessage="1" promptTitle="Today" prompt="To enable this to be autmatically updated, enter the formula: =TODAY()_x000a__x000a_Otherwise enter a date of your choice to display as today." sqref="B4"/>
    <dataValidation allowBlank="1" showInputMessage="1" showErrorMessage="1" promptTitle="Start and Planned end dates" prompt="For main tasks that have multiple sub-tasks, you can utilise the MAX(range) funtion, where the range covers all sub-task dates." sqref="C6:D49"/>
  </dataValidations>
  <pageMargins left="0.43307086614173229" right="0.43307086614173229" top="0.74803149606299213" bottom="0.74803149606299213" header="0.31496062992125984" footer="0.31496062992125984"/>
  <pageSetup paperSize="8" scale="65" orientation="landscape" r:id="rId1"/>
  <headerFooter>
    <oddHeader>&amp;F</oddHeader>
    <oddFooter>&amp;L&amp;"-,Bold"&amp;K669966ProfessionalExcel.com&amp;C&amp;D&amp;RPage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Settings"/>
  <dimension ref="A1:C5"/>
  <sheetViews>
    <sheetView showGridLines="0" workbookViewId="0">
      <selection activeCell="B2" sqref="B2"/>
    </sheetView>
  </sheetViews>
  <sheetFormatPr defaultColWidth="9.140625" defaultRowHeight="12.75"/>
  <cols>
    <col min="1" max="1" width="18.5703125" style="52" customWidth="1"/>
    <col min="2" max="2" width="10.5703125" style="52" customWidth="1"/>
    <col min="3" max="3" width="87.28515625" style="53" bestFit="1" customWidth="1"/>
    <col min="4" max="4" width="8" style="30" bestFit="1" customWidth="1"/>
    <col min="5" max="16384" width="9.140625" style="30"/>
  </cols>
  <sheetData>
    <row r="1" spans="1:3">
      <c r="A1" s="48" t="s">
        <v>10</v>
      </c>
      <c r="B1" s="48" t="s">
        <v>12</v>
      </c>
      <c r="C1" s="49" t="s">
        <v>11</v>
      </c>
    </row>
    <row r="2" spans="1:3" ht="27" customHeight="1">
      <c r="A2" s="50" t="s">
        <v>1</v>
      </c>
      <c r="B2" s="54">
        <v>0</v>
      </c>
      <c r="C2" s="51" t="s">
        <v>13</v>
      </c>
    </row>
    <row r="3" spans="1:3" ht="27" customHeight="1">
      <c r="A3" s="50" t="s">
        <v>2</v>
      </c>
      <c r="B3" s="55">
        <v>2</v>
      </c>
      <c r="C3" s="51" t="s">
        <v>15</v>
      </c>
    </row>
    <row r="4" spans="1:3" ht="27" customHeight="1">
      <c r="A4" s="50" t="s">
        <v>6</v>
      </c>
      <c r="B4" s="56">
        <v>2</v>
      </c>
      <c r="C4" s="51" t="s">
        <v>16</v>
      </c>
    </row>
    <row r="5" spans="1:3" ht="27" customHeight="1">
      <c r="A5" s="50" t="s">
        <v>7</v>
      </c>
      <c r="B5" s="56" t="b">
        <v>1</v>
      </c>
      <c r="C5" s="51" t="s">
        <v>14</v>
      </c>
    </row>
  </sheetData>
  <dataValidations count="2">
    <dataValidation type="list" allowBlank="1" showInputMessage="1" showErrorMessage="1" sqref="B5">
      <formula1>"TRUE,FALSE"</formula1>
    </dataValidation>
    <dataValidation type="list" allowBlank="1" showInputMessage="1" showErrorMessage="1" sqref="B3">
      <formula1>"1,2,3,4,5,6,7"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Gantt</vt:lpstr>
      <vt:lpstr>Settings</vt:lpstr>
      <vt:lpstr>DateOffset</vt:lpstr>
      <vt:lpstr>GanttNoOfYears</vt:lpstr>
      <vt:lpstr>Manager</vt:lpstr>
      <vt:lpstr>Gantt!Print_Area</vt:lpstr>
      <vt:lpstr>ShowFY</vt:lpstr>
      <vt:lpstr>Start</vt:lpstr>
      <vt:lpstr>Today</vt:lpstr>
      <vt:lpstr>VERSION</vt:lpstr>
      <vt:lpstr>WeekStartType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Manager Gantt Chart</dc:title>
  <dc:subject>Project Management</dc:subject>
  <dc:creator>Chris Read</dc:creator>
  <cp:keywords>Project Management, Gantt Chart, Task Timeline, Project Profile</cp:keywords>
  <dc:description>Analyse project task timelines in a gantt chart.</dc:description>
  <cp:lastModifiedBy>Daniel</cp:lastModifiedBy>
  <cp:lastPrinted>2009-12-31T19:07:05Z</cp:lastPrinted>
  <dcterms:created xsi:type="dcterms:W3CDTF">2006-09-16T00:00:00Z</dcterms:created>
  <dcterms:modified xsi:type="dcterms:W3CDTF">2017-10-09T16:26:16Z</dcterms:modified>
  <cp:category>Project Management</cp:category>
</cp:coreProperties>
</file>